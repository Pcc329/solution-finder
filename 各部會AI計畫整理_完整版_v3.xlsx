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下載\"/>
    </mc:Choice>
  </mc:AlternateContent>
  <xr:revisionPtr revIDLastSave="0" documentId="13_ncr:1_{BCC5D6EA-E379-420E-BEE7-60DD91C9F895}" xr6:coauthVersionLast="47" xr6:coauthVersionMax="47" xr10:uidLastSave="{00000000-0000-0000-0000-000000000000}"/>
  <bookViews>
    <workbookView xWindow="20370" yWindow="-3450" windowWidth="29040" windowHeight="15720" tabRatio="500" xr2:uid="{00000000-000D-0000-FFFF-FFFF00000000}"/>
  </bookViews>
  <sheets>
    <sheet name="計畫總表" sheetId="1" r:id="rId1"/>
    <sheet name="115年方案彙整" sheetId="2" r:id="rId2"/>
    <sheet name="比對結果" sheetId="3" r:id="rId3"/>
    <sheet name="統計" sheetId="4" r:id="rId4"/>
    <sheet name="查證紀錄" sheetId="5" r:id="rId5"/>
    <sheet name="說明" sheetId="6" r:id="rId6"/>
  </sheets>
  <definedNames>
    <definedName name="_xlnm._FilterDatabase" localSheetId="1" hidden="1">'115年方案彙整'!$A$1:$X$42</definedName>
    <definedName name="_xlnm._FilterDatabase" localSheetId="2" hidden="1">比對結果!$A$1:$I$42</definedName>
    <definedName name="_xlnm._FilterDatabase" localSheetId="0" hidden="1">計畫總表!$A$1:$U$27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G2" i="1" l="1"/>
  <c r="B71" i="4"/>
  <c r="B59" i="4"/>
  <c r="B52" i="4"/>
  <c r="B50" i="4"/>
  <c r="B49" i="4"/>
  <c r="B51" i="4" s="1"/>
  <c r="B40" i="4"/>
  <c r="B39" i="4"/>
  <c r="B38" i="4"/>
  <c r="B37" i="4"/>
  <c r="B41" i="4" s="1"/>
  <c r="B33" i="4"/>
  <c r="B32" i="4"/>
  <c r="B31" i="4"/>
  <c r="B34" i="4" s="1"/>
  <c r="C17" i="4"/>
  <c r="B17" i="4"/>
  <c r="C16" i="4"/>
  <c r="B16" i="4"/>
  <c r="C15" i="4"/>
  <c r="B15" i="4"/>
  <c r="C14" i="4"/>
  <c r="B14" i="4"/>
  <c r="C13" i="4"/>
  <c r="B13" i="4"/>
  <c r="B18" i="4" s="1"/>
  <c r="C12" i="4"/>
  <c r="B12" i="4"/>
  <c r="B8" i="4"/>
  <c r="B7" i="4"/>
  <c r="B6" i="4"/>
  <c r="B5" i="4"/>
  <c r="B9" i="4" s="1"/>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H2" i="3"/>
  <c r="H42" i="2"/>
  <c r="G42" i="2" s="1"/>
  <c r="T41" i="2"/>
  <c r="S41" i="2"/>
  <c r="H41" i="2"/>
  <c r="G41" i="2" s="1"/>
  <c r="T40" i="2"/>
  <c r="S40" i="2"/>
  <c r="H40" i="2"/>
  <c r="G40" i="2" s="1"/>
  <c r="T39" i="2"/>
  <c r="S39" i="2"/>
  <c r="H39" i="2"/>
  <c r="G39" i="2" s="1"/>
  <c r="T38" i="2"/>
  <c r="S38" i="2"/>
  <c r="H38" i="2"/>
  <c r="G38" i="2" s="1"/>
  <c r="T37" i="2"/>
  <c r="S37" i="2"/>
  <c r="H37" i="2"/>
  <c r="G37" i="2" s="1"/>
  <c r="T36" i="2"/>
  <c r="S36" i="2"/>
  <c r="H36" i="2"/>
  <c r="G36" i="2" s="1"/>
  <c r="T35" i="2"/>
  <c r="S35" i="2"/>
  <c r="H35" i="2"/>
  <c r="G35" i="2" s="1"/>
  <c r="T34" i="2"/>
  <c r="S34" i="2"/>
  <c r="H34" i="2"/>
  <c r="G34" i="2" s="1"/>
  <c r="T33" i="2"/>
  <c r="S33" i="2"/>
  <c r="H33" i="2"/>
  <c r="G33" i="2" s="1"/>
  <c r="T32" i="2"/>
  <c r="S32" i="2"/>
  <c r="H32" i="2"/>
  <c r="G32" i="2" s="1"/>
  <c r="T31" i="2"/>
  <c r="S31" i="2"/>
  <c r="H31" i="2"/>
  <c r="G31" i="2" s="1"/>
  <c r="T30" i="2"/>
  <c r="S30" i="2"/>
  <c r="H30" i="2"/>
  <c r="G30" i="2" s="1"/>
  <c r="T29" i="2"/>
  <c r="S29" i="2"/>
  <c r="H29" i="2"/>
  <c r="G29" i="2" s="1"/>
  <c r="T28" i="2"/>
  <c r="S28" i="2"/>
  <c r="H28" i="2"/>
  <c r="G28" i="2" s="1"/>
  <c r="T27" i="2"/>
  <c r="S27" i="2"/>
  <c r="H27" i="2"/>
  <c r="G27" i="2" s="1"/>
  <c r="T26" i="2"/>
  <c r="S26" i="2"/>
  <c r="H26" i="2"/>
  <c r="G26" i="2" s="1"/>
  <c r="T25" i="2"/>
  <c r="S25" i="2"/>
  <c r="H25" i="2"/>
  <c r="G25" i="2" s="1"/>
  <c r="H24" i="2"/>
  <c r="G24" i="2" s="1"/>
  <c r="T23" i="2"/>
  <c r="S23" i="2"/>
  <c r="H23" i="2"/>
  <c r="G23" i="2" s="1"/>
  <c r="T22" i="2"/>
  <c r="S22" i="2"/>
  <c r="H22" i="2"/>
  <c r="G22" i="2" s="1"/>
  <c r="T21" i="2"/>
  <c r="S21" i="2"/>
  <c r="H21" i="2"/>
  <c r="G21" i="2" s="1"/>
  <c r="T20" i="2"/>
  <c r="S20" i="2"/>
  <c r="H20" i="2"/>
  <c r="G20" i="2" s="1"/>
  <c r="T19" i="2"/>
  <c r="S19" i="2"/>
  <c r="H19" i="2"/>
  <c r="G19" i="2" s="1"/>
  <c r="T18" i="2"/>
  <c r="S18" i="2"/>
  <c r="H18" i="2"/>
  <c r="G18" i="2" s="1"/>
  <c r="T17" i="2"/>
  <c r="S17" i="2"/>
  <c r="H17" i="2"/>
  <c r="G17" i="2" s="1"/>
  <c r="T16" i="2"/>
  <c r="S16" i="2"/>
  <c r="H16" i="2"/>
  <c r="G16" i="2" s="1"/>
  <c r="T15" i="2"/>
  <c r="S15" i="2"/>
  <c r="H15" i="2"/>
  <c r="G15" i="2" s="1"/>
  <c r="T14" i="2"/>
  <c r="S14" i="2"/>
  <c r="H14" i="2"/>
  <c r="G14" i="2" s="1"/>
  <c r="T13" i="2"/>
  <c r="S13" i="2"/>
  <c r="H13" i="2"/>
  <c r="G13" i="2" s="1"/>
  <c r="T12" i="2"/>
  <c r="S12" i="2"/>
  <c r="H12" i="2"/>
  <c r="G12" i="2" s="1"/>
  <c r="T11" i="2"/>
  <c r="S11" i="2"/>
  <c r="H11" i="2"/>
  <c r="G11" i="2" s="1"/>
  <c r="T10" i="2"/>
  <c r="S10" i="2"/>
  <c r="H10" i="2"/>
  <c r="G10" i="2" s="1"/>
  <c r="T9" i="2"/>
  <c r="S9" i="2"/>
  <c r="H9" i="2"/>
  <c r="G9" i="2" s="1"/>
  <c r="T8" i="2"/>
  <c r="S8" i="2"/>
  <c r="H8" i="2"/>
  <c r="G8" i="2" s="1"/>
  <c r="T7" i="2"/>
  <c r="S7" i="2"/>
  <c r="H7" i="2"/>
  <c r="G7" i="2" s="1"/>
  <c r="T6" i="2"/>
  <c r="S6" i="2"/>
  <c r="H6" i="2"/>
  <c r="G6" i="2" s="1"/>
  <c r="T5" i="2"/>
  <c r="S5" i="2"/>
  <c r="H5" i="2"/>
  <c r="G5" i="2" s="1"/>
  <c r="T4" i="2"/>
  <c r="S4" i="2"/>
  <c r="H4" i="2"/>
  <c r="G4" i="2" s="1"/>
  <c r="T3" i="2"/>
  <c r="S3" i="2"/>
  <c r="B65" i="4" s="1"/>
  <c r="H3" i="2"/>
  <c r="G3" i="2" s="1"/>
  <c r="H2" i="2"/>
  <c r="G2" i="2" s="1"/>
  <c r="B60" i="4" s="1"/>
  <c r="R27" i="1"/>
  <c r="Q27" i="1"/>
  <c r="G27" i="1"/>
  <c r="R26" i="1"/>
  <c r="Q26" i="1"/>
  <c r="G26" i="1"/>
  <c r="R25" i="1"/>
  <c r="Q25" i="1"/>
  <c r="G25" i="1"/>
  <c r="R24" i="1"/>
  <c r="Q24" i="1"/>
  <c r="G24" i="1"/>
  <c r="R23" i="1"/>
  <c r="Q23" i="1"/>
  <c r="G23" i="1"/>
  <c r="R22" i="1"/>
  <c r="Q22" i="1"/>
  <c r="G22" i="1"/>
  <c r="R21" i="1"/>
  <c r="Q21" i="1"/>
  <c r="G21" i="1"/>
  <c r="R20" i="1"/>
  <c r="Q20" i="1"/>
  <c r="G20" i="1"/>
  <c r="R19" i="1"/>
  <c r="Q19" i="1"/>
  <c r="G19" i="1"/>
  <c r="R18" i="1"/>
  <c r="Q18" i="1"/>
  <c r="G18" i="1"/>
  <c r="R17" i="1"/>
  <c r="Q17" i="1"/>
  <c r="G17" i="1"/>
  <c r="R16" i="1"/>
  <c r="Q16" i="1"/>
  <c r="G16" i="1"/>
  <c r="R15" i="1"/>
  <c r="Q15" i="1"/>
  <c r="G15" i="1"/>
  <c r="R14" i="1"/>
  <c r="Q14" i="1"/>
  <c r="G14" i="1"/>
  <c r="R13" i="1"/>
  <c r="Q13" i="1"/>
  <c r="G13" i="1"/>
  <c r="R12" i="1"/>
  <c r="Q12" i="1"/>
  <c r="G12" i="1"/>
  <c r="R11" i="1"/>
  <c r="Q11" i="1"/>
  <c r="G11" i="1"/>
  <c r="R10" i="1"/>
  <c r="Q10" i="1"/>
  <c r="G10" i="1"/>
  <c r="R9" i="1"/>
  <c r="Q9" i="1"/>
  <c r="G9" i="1"/>
  <c r="R8" i="1"/>
  <c r="Q8" i="1"/>
  <c r="G8" i="1"/>
  <c r="R7" i="1"/>
  <c r="Q7" i="1"/>
  <c r="G7" i="1"/>
  <c r="R6" i="1"/>
  <c r="Q6" i="1"/>
  <c r="G6" i="1"/>
  <c r="R5" i="1"/>
  <c r="Q5" i="1"/>
  <c r="G5" i="1"/>
  <c r="R4" i="1"/>
  <c r="Q4" i="1"/>
  <c r="G4" i="1"/>
  <c r="R3" i="1"/>
  <c r="Q3" i="1"/>
  <c r="G3" i="1"/>
  <c r="R2" i="1"/>
  <c r="Q2" i="1"/>
  <c r="B27" i="4" s="1"/>
  <c r="B44" i="4"/>
  <c r="B45" i="4" l="1"/>
  <c r="B46" i="4" s="1"/>
  <c r="B55" i="4"/>
  <c r="B74" i="4"/>
  <c r="B61" i="4"/>
  <c r="B66" i="4"/>
  <c r="B21" i="4"/>
  <c r="B67" i="4"/>
  <c r="B22" i="4"/>
  <c r="B68" i="4"/>
  <c r="B23" i="4"/>
  <c r="B69" i="4"/>
  <c r="B24" i="4"/>
  <c r="B25" i="4"/>
  <c r="B26" i="4"/>
  <c r="B64" i="4"/>
  <c r="B28" i="4" l="1"/>
  <c r="B54" i="4" s="1"/>
  <c r="B70" i="4"/>
  <c r="B73" i="4" s="1"/>
</calcChain>
</file>

<file path=xl/sharedStrings.xml><?xml version="1.0" encoding="utf-8"?>
<sst xmlns="http://schemas.openxmlformats.org/spreadsheetml/2006/main" count="1429" uniqueCount="645">
  <si>
    <t>編號</t>
  </si>
  <si>
    <t>來源回答</t>
  </si>
  <si>
    <t>類別</t>
  </si>
  <si>
    <t>主辦部會</t>
  </si>
  <si>
    <t>執行/主管單位</t>
  </si>
  <si>
    <t>計畫或資源名稱</t>
  </si>
  <si>
    <r>
      <rPr>
        <b/>
        <sz val="11"/>
        <color rgb="FFFFFFFF"/>
        <rFont val="Microsoft JhengHei"/>
        <family val="2"/>
        <charset val="136"/>
      </rPr>
      <t>115</t>
    </r>
    <r>
      <rPr>
        <b/>
        <sz val="11"/>
        <color rgb="FFFFFFFF"/>
        <rFont val="Noto Sans CJK SC"/>
        <family val="2"/>
      </rPr>
      <t>年中小企業競爭力方案</t>
    </r>
  </si>
  <si>
    <t>內容重點</t>
  </si>
  <si>
    <t>補助上限(萬元)</t>
  </si>
  <si>
    <t>上限定義</t>
  </si>
  <si>
    <t>補助型態</t>
  </si>
  <si>
    <t>申請對象</t>
  </si>
  <si>
    <t>企業可直接申請?</t>
  </si>
  <si>
    <t>申請截止日</t>
  </si>
  <si>
    <t>期限說明</t>
  </si>
  <si>
    <t>無截止日時的狀態</t>
  </si>
  <si>
    <t>申請狀態</t>
  </si>
  <si>
    <t>距截止天數</t>
  </si>
  <si>
    <t>查證結果</t>
  </si>
  <si>
    <t>核對說明與更正</t>
  </si>
  <si>
    <t>資料來源</t>
  </si>
  <si>
    <t>第一則(經濟部)</t>
  </si>
  <si>
    <t>研發補助與投資</t>
  </si>
  <si>
    <t>經濟部</t>
  </si>
  <si>
    <t>產業技術司</t>
  </si>
  <si>
    <r>
      <rPr>
        <sz val="10"/>
        <rFont val="Microsoft JhengHei"/>
        <family val="2"/>
        <charset val="136"/>
      </rPr>
      <t>A+</t>
    </r>
    <r>
      <rPr>
        <sz val="10"/>
        <rFont val="Noto Sans CJK SC"/>
        <family val="2"/>
      </rPr>
      <t>企業創新研發淬鍊計畫</t>
    </r>
    <r>
      <rPr>
        <sz val="10"/>
        <rFont val="Microsoft JhengHei"/>
        <family val="2"/>
        <charset val="136"/>
      </rPr>
      <t>-AI</t>
    </r>
    <r>
      <rPr>
        <sz val="10"/>
        <rFont val="Noto Sans CJK SC"/>
        <family val="2"/>
      </rPr>
      <t>應用躍昇計畫</t>
    </r>
  </si>
  <si>
    <t>鼓勵企業結合SI業者或法人開發AI應用並於場域驗證;法人科專已開發31個共通應用模型、導入279家廠商</t>
  </si>
  <si>
    <t>每案:導入型2,000+SI加碼1,000;擴散型2,000;補助不超過總經費50%</t>
  </si>
  <si>
    <t>現金補助</t>
  </si>
  <si>
    <t>企業、SI業者、法人</t>
  </si>
  <si>
    <t>是</t>
  </si>
  <si>
    <r>
      <rPr>
        <sz val="10"/>
        <rFont val="Microsoft JhengHei"/>
        <family val="2"/>
        <charset val="136"/>
      </rPr>
      <t>114</t>
    </r>
    <r>
      <rPr>
        <sz val="10"/>
        <rFont val="Noto Sans CJK SC"/>
        <family val="2"/>
      </rPr>
      <t>年度受理至</t>
    </r>
    <r>
      <rPr>
        <sz val="10"/>
        <rFont val="Microsoft JhengHei"/>
        <family val="2"/>
        <charset val="136"/>
      </rPr>
      <t>2025-11-28(</t>
    </r>
    <r>
      <rPr>
        <sz val="10"/>
        <rFont val="Noto Sans CJK SC"/>
        <family val="2"/>
      </rPr>
      <t>媒體報導</t>
    </r>
    <r>
      <rPr>
        <sz val="10"/>
        <rFont val="Microsoft JhengHei"/>
        <family val="2"/>
        <charset val="136"/>
      </rPr>
      <t>);115</t>
    </r>
    <r>
      <rPr>
        <sz val="10"/>
        <rFont val="Noto Sans CJK SC"/>
        <family val="2"/>
      </rPr>
      <t>年度是否另有徵案未查到</t>
    </r>
  </si>
  <si>
    <t>部分核對</t>
  </si>
  <si>
    <t>官方新聞確認上限與31個模型、279家;總經費5億元與受理期限來自媒體;官方頁未載期限。115年度徵案未查到,請至A+計畫網站確認</t>
  </si>
  <si>
    <t>https://www.moea.gov.tw/MNS/populace/news/News.aspx?kind=1&amp;menu_id=40&amp;news_id=120600</t>
  </si>
  <si>
    <r>
      <rPr>
        <sz val="10"/>
        <rFont val="Microsoft JhengHei"/>
        <family val="2"/>
        <charset val="136"/>
      </rPr>
      <t>A+</t>
    </r>
    <r>
      <rPr>
        <sz val="10"/>
        <rFont val="Noto Sans CJK SC"/>
        <family val="2"/>
      </rPr>
      <t>企業創新研發淬鍊計畫</t>
    </r>
    <r>
      <rPr>
        <sz val="10"/>
        <rFont val="Microsoft JhengHei"/>
        <family val="2"/>
        <charset val="136"/>
      </rPr>
      <t>-</t>
    </r>
    <r>
      <rPr>
        <sz val="10"/>
        <rFont val="Noto Sans CJK SC"/>
        <family val="2"/>
      </rPr>
      <t>國際創新研發合作補助</t>
    </r>
    <r>
      <rPr>
        <sz val="10"/>
        <rFont val="Microsoft JhengHei"/>
        <family val="2"/>
        <charset val="136"/>
      </rPr>
      <t>(AI</t>
    </r>
    <r>
      <rPr>
        <sz val="10"/>
        <rFont val="Noto Sans CJK SC"/>
        <family val="2"/>
      </rPr>
      <t>加碼</t>
    </r>
    <r>
      <rPr>
        <sz val="10"/>
        <rFont val="Microsoft JhengHei"/>
        <family val="2"/>
        <charset val="136"/>
      </rPr>
      <t>20%)</t>
    </r>
  </si>
  <si>
    <r>
      <rPr>
        <sz val="10"/>
        <rFont val="Microsoft JhengHei"/>
        <family val="2"/>
        <charset val="136"/>
      </rPr>
      <t>AI</t>
    </r>
    <r>
      <rPr>
        <sz val="10"/>
        <rFont val="Noto Sans CJK SC"/>
        <family val="2"/>
      </rPr>
      <t>技術研發合作及參與國際標準制定</t>
    </r>
    <r>
      <rPr>
        <sz val="10"/>
        <rFont val="Microsoft JhengHei"/>
        <family val="2"/>
        <charset val="136"/>
      </rPr>
      <t>,</t>
    </r>
    <r>
      <rPr>
        <sz val="10"/>
        <rFont val="Noto Sans CJK SC"/>
        <family val="2"/>
      </rPr>
      <t>核定補助款可加碼最多</t>
    </r>
    <r>
      <rPr>
        <sz val="10"/>
        <rFont val="Microsoft JhengHei"/>
        <family val="2"/>
        <charset val="136"/>
      </rPr>
      <t>20%,</t>
    </r>
    <r>
      <rPr>
        <sz val="10"/>
        <rFont val="Noto Sans CJK SC"/>
        <family val="2"/>
      </rPr>
      <t>加碼後不超過核定計畫總經費</t>
    </r>
    <r>
      <rPr>
        <sz val="10"/>
        <rFont val="Microsoft JhengHei"/>
        <family val="2"/>
        <charset val="136"/>
      </rPr>
      <t>50%</t>
    </r>
  </si>
  <si>
    <t>加碼上限20%(非獨立補助額度)</t>
  </si>
  <si>
    <t>現金補助加碼</t>
  </si>
  <si>
    <t>企業</t>
  </si>
  <si>
    <t>全案實施至2028-12-29(報導)</t>
  </si>
  <si>
    <t>未確認</t>
  </si>
  <si>
    <t>僅媒體或二手</t>
  </si>
  <si>
    <t>僅聯合報報導,A+官方頁未能找到AI加碼說明,無法核對</t>
  </si>
  <si>
    <t>https://udn.com/news/story/7240/9244366</t>
  </si>
  <si>
    <r>
      <rPr>
        <sz val="10"/>
        <rFont val="Microsoft JhengHei"/>
        <family val="2"/>
        <charset val="136"/>
      </rPr>
      <t>IC</t>
    </r>
    <r>
      <rPr>
        <sz val="10"/>
        <rFont val="Noto Sans CJK SC"/>
        <family val="2"/>
      </rPr>
      <t>設計攻頂補助計畫</t>
    </r>
  </si>
  <si>
    <r>
      <rPr>
        <sz val="10"/>
        <rFont val="Microsoft JhengHei"/>
        <family val="2"/>
        <charset val="136"/>
      </rPr>
      <t>115</t>
    </r>
    <r>
      <rPr>
        <sz val="10"/>
        <rFont val="Noto Sans CJK SC"/>
        <family val="2"/>
      </rPr>
      <t>年度聚焦衛星通訊、機器人、無人機等晶片與系統開發</t>
    </r>
    <r>
      <rPr>
        <sz val="10"/>
        <rFont val="Microsoft JhengHei"/>
        <family val="2"/>
        <charset val="136"/>
      </rPr>
      <t>,</t>
    </r>
    <r>
      <rPr>
        <sz val="10"/>
        <rFont val="Noto Sans CJK SC"/>
        <family val="2"/>
      </rPr>
      <t>並鼓勵運用</t>
    </r>
    <r>
      <rPr>
        <sz val="10"/>
        <rFont val="Microsoft JhengHei"/>
        <family val="2"/>
        <charset val="136"/>
      </rPr>
      <t>AI</t>
    </r>
    <r>
      <rPr>
        <sz val="10"/>
        <rFont val="Noto Sans CJK SC"/>
        <family val="2"/>
      </rPr>
      <t>整合軟硬體開發百工百業應用系統</t>
    </r>
  </si>
  <si>
    <t>官方頁未載金額</t>
  </si>
  <si>
    <r>
      <rPr>
        <sz val="10"/>
        <rFont val="Microsoft JhengHei"/>
        <family val="2"/>
        <charset val="136"/>
      </rPr>
      <t>IC</t>
    </r>
    <r>
      <rPr>
        <sz val="10"/>
        <rFont val="Noto Sans CJK SC"/>
        <family val="2"/>
      </rPr>
      <t>設計業者</t>
    </r>
  </si>
  <si>
    <t>限特定對象</t>
  </si>
  <si>
    <r>
      <rPr>
        <sz val="10"/>
        <rFont val="Microsoft JhengHei"/>
        <family val="2"/>
        <charset val="136"/>
      </rPr>
      <t>115</t>
    </r>
    <r>
      <rPr>
        <sz val="10"/>
        <rFont val="Noto Sans CJK SC"/>
        <family val="2"/>
      </rPr>
      <t>年度受理至</t>
    </r>
    <r>
      <rPr>
        <sz val="10"/>
        <rFont val="Microsoft JhengHei"/>
        <family val="2"/>
        <charset val="136"/>
      </rPr>
      <t>2026-03-31 17:00(</t>
    </r>
    <r>
      <rPr>
        <sz val="10"/>
        <rFont val="Noto Sans CJK SC"/>
        <family val="2"/>
      </rPr>
      <t>官方頁</t>
    </r>
    <r>
      <rPr>
        <sz val="10"/>
        <rFont val="Microsoft JhengHei"/>
        <family val="2"/>
        <charset val="136"/>
      </rPr>
      <t>)</t>
    </r>
  </si>
  <si>
    <t>官方頁核對期限與重點領域;補助金額與比例未載</t>
  </si>
  <si>
    <t>https://service.moea.gov.tw/EE514/tw/aiip/336.html</t>
  </si>
  <si>
    <t>無人機關鍵晶片及模組自主開發研發補助計畫</t>
  </si>
  <si>
    <t>協助廠商開發無人機AI影像晶片模組與低成本飛行控制板</t>
  </si>
  <si>
    <t>未查到</t>
  </si>
  <si>
    <t>晶片廠、系統廠</t>
  </si>
  <si>
    <t>僅業界科專頁面的計畫描述(頁面為舊資料);115年度是否徵案、金額與期限未能確認</t>
  </si>
  <si>
    <t>https://www.moea.gov.tw/MNS/doit/content/Content.aspx?menu_id=13392</t>
  </si>
  <si>
    <t>產業發展署</t>
  </si>
  <si>
    <t>主題式-製造業AI升級擴散與機器人關鍵感知模組整合研發計畫</t>
  </si>
  <si>
    <t>產業升級創新平台主題式研發計畫,配合AI新十大建設</t>
  </si>
  <si>
    <t>公告以圖卡呈現,文字未載</t>
  </si>
  <si>
    <t>公告日2026-05-29,受理至2026-06-30</t>
  </si>
  <si>
    <t>產業署新聞確認公告日與截止日;補助上限、對象未能讀取(產業升級創新平台網頁禁止擷取)</t>
  </si>
  <si>
    <t>https://www.ida.gov.tw/ctlr?PRO=news.rwdNewsView&amp;id=43221</t>
  </si>
  <si>
    <t>產業發展署(中國生產力中心執行)</t>
  </si>
  <si>
    <t>智慧機械-產業聚落供應鏈數位串流暨AI應用</t>
  </si>
  <si>
    <t>中小型製造業結合上下游供應鏈,以資訊系統串聯並導入AI加值應用;須委外SI業者</t>
  </si>
  <si>
    <t>每案;不超過總經費50%;卓越或潛力中堅企業、新創各可加碼10%</t>
  </si>
  <si>
    <t>中小型製造業(須工廠登記)</t>
  </si>
  <si>
    <t>收件至2026-05-04 17:30;執行期不晚於2027-10-31</t>
  </si>
  <si>
    <t>已核對(官方)</t>
  </si>
  <si>
    <t>更正:先前回答的500萬元為114年版「先期顧問規劃案」上限;115年3月版申請須知上限為1,500萬元。與你提供的115年方案彙整表一致(1,500萬、50%、5/4 17:30、執行至116/10/31)</t>
  </si>
  <si>
    <t>https://keid.nat.gov.tw/cloud/Web/UpWebload/ACE60748-3BEA-43F0-B094-9783B1E3039B.pdf</t>
  </si>
  <si>
    <t>導入輔導與補助</t>
  </si>
  <si>
    <t>產業競爭力輔導團(AI升級三階段)</t>
  </si>
  <si>
    <t>特別預算460億元;階段一AI診斷、階段二AI工具導入與人才培訓、階段三研發轉型;截至2026-07已輔導9,249家企業(93%為中小企業)</t>
  </si>
  <si>
    <t>研發轉型個案最高500萬(產業聯盟最高4,000萬);診斷約19萬、AI工具最高10萬、人才培訓最高12萬</t>
  </si>
  <si>
    <t>輔導+補助</t>
  </si>
  <si>
    <t>製造業等企業(須先申請並通過資格審核)</t>
  </si>
  <si>
    <t>官方平台持續受理,未見截止日</t>
  </si>
  <si>
    <t>常態開放</t>
  </si>
  <si>
    <r>
      <rPr>
        <sz val="10"/>
        <rFont val="Microsoft JhengHei"/>
        <family val="2"/>
        <charset val="136"/>
      </rPr>
      <t>9,249</t>
    </r>
    <r>
      <rPr>
        <sz val="10"/>
        <rFont val="Noto Sans CJK SC"/>
        <family val="2"/>
      </rPr>
      <t>家、</t>
    </r>
    <r>
      <rPr>
        <sz val="10"/>
        <rFont val="Microsoft JhengHei"/>
        <family val="2"/>
        <charset val="136"/>
      </rPr>
      <t>93%</t>
    </r>
    <r>
      <rPr>
        <sz val="10"/>
        <rFont val="Noto Sans CJK SC"/>
        <family val="2"/>
      </rPr>
      <t>、</t>
    </r>
    <r>
      <rPr>
        <sz val="10"/>
        <rFont val="Microsoft JhengHei"/>
        <family val="2"/>
        <charset val="136"/>
      </rPr>
      <t>397</t>
    </r>
    <r>
      <rPr>
        <sz val="10"/>
        <rFont val="Noto Sans CJK SC"/>
        <family val="2"/>
      </rPr>
      <t>項</t>
    </r>
    <r>
      <rPr>
        <sz val="10"/>
        <rFont val="Microsoft JhengHei"/>
        <family val="2"/>
        <charset val="136"/>
      </rPr>
      <t>AI</t>
    </r>
    <r>
      <rPr>
        <sz val="10"/>
        <rFont val="Noto Sans CJK SC"/>
        <family val="2"/>
      </rPr>
      <t>工具經中央社報導核對</t>
    </r>
    <r>
      <rPr>
        <sz val="10"/>
        <rFont val="Microsoft JhengHei"/>
        <family val="2"/>
        <charset val="136"/>
      </rPr>
      <t>;</t>
    </r>
    <r>
      <rPr>
        <sz val="10"/>
        <rFont val="Noto Sans CJK SC"/>
        <family val="2"/>
      </rPr>
      <t>工具最高</t>
    </r>
    <r>
      <rPr>
        <sz val="10"/>
        <rFont val="Microsoft JhengHei"/>
        <family val="2"/>
        <charset val="136"/>
      </rPr>
      <t>10</t>
    </r>
    <r>
      <rPr>
        <sz val="10"/>
        <rFont val="Noto Sans CJK SC"/>
        <family val="2"/>
      </rPr>
      <t>萬、研發</t>
    </r>
    <r>
      <rPr>
        <sz val="10"/>
        <rFont val="Microsoft JhengHei"/>
        <family val="2"/>
        <charset val="136"/>
      </rPr>
      <t>500</t>
    </r>
    <r>
      <rPr>
        <sz val="10"/>
        <rFont val="Noto Sans CJK SC"/>
        <family val="2"/>
      </rPr>
      <t>萬</t>
    </r>
    <r>
      <rPr>
        <sz val="10"/>
        <rFont val="Microsoft JhengHei"/>
        <family val="2"/>
        <charset val="136"/>
      </rPr>
      <t>/4,000</t>
    </r>
    <r>
      <rPr>
        <sz val="10"/>
        <rFont val="Noto Sans CJK SC"/>
        <family val="2"/>
      </rPr>
      <t>萬與官方</t>
    </r>
    <r>
      <rPr>
        <sz val="10"/>
        <rFont val="Microsoft JhengHei"/>
        <family val="2"/>
        <charset val="136"/>
      </rPr>
      <t>PDF</t>
    </r>
    <r>
      <rPr>
        <sz val="10"/>
        <rFont val="Noto Sans CJK SC"/>
        <family val="2"/>
      </rPr>
      <t>相符。診斷補助有衝突</t>
    </r>
    <r>
      <rPr>
        <sz val="10"/>
        <rFont val="Microsoft JhengHei"/>
        <family val="2"/>
        <charset val="136"/>
      </rPr>
      <t>:</t>
    </r>
    <r>
      <rPr>
        <sz val="10"/>
        <rFont val="Noto Sans CJK SC"/>
        <family val="2"/>
      </rPr>
      <t>多數報導為</t>
    </r>
    <r>
      <rPr>
        <sz val="10"/>
        <rFont val="Microsoft JhengHei"/>
        <family val="2"/>
        <charset val="136"/>
      </rPr>
      <t>19</t>
    </r>
    <r>
      <rPr>
        <sz val="10"/>
        <rFont val="Noto Sans CJK SC"/>
        <family val="2"/>
      </rPr>
      <t>萬</t>
    </r>
    <r>
      <rPr>
        <sz val="10"/>
        <rFont val="Microsoft JhengHei"/>
        <family val="2"/>
        <charset val="136"/>
      </rPr>
      <t>+</t>
    </r>
    <r>
      <rPr>
        <sz val="10"/>
        <rFont val="Noto Sans CJK SC"/>
        <family val="2"/>
      </rPr>
      <t>自付</t>
    </r>
    <r>
      <rPr>
        <sz val="10"/>
        <rFont val="Microsoft JhengHei"/>
        <family val="2"/>
        <charset val="136"/>
      </rPr>
      <t>1</t>
    </r>
    <r>
      <rPr>
        <sz val="10"/>
        <rFont val="Noto Sans CJK SC"/>
        <family val="2"/>
      </rPr>
      <t>萬</t>
    </r>
    <r>
      <rPr>
        <sz val="10"/>
        <rFont val="Microsoft JhengHei"/>
        <family val="2"/>
        <charset val="136"/>
      </rPr>
      <t>,</t>
    </r>
    <r>
      <rPr>
        <sz val="10"/>
        <rFont val="Noto Sans CJK SC"/>
        <family val="2"/>
      </rPr>
      <t>官方</t>
    </r>
    <r>
      <rPr>
        <sz val="10"/>
        <rFont val="Microsoft JhengHei"/>
        <family val="2"/>
        <charset val="136"/>
      </rPr>
      <t>PDF</t>
    </r>
    <r>
      <rPr>
        <sz val="10"/>
        <rFont val="Noto Sans CJK SC"/>
        <family val="2"/>
      </rPr>
      <t>摘要顯示</t>
    </r>
    <r>
      <rPr>
        <sz val="10"/>
        <rFont val="Microsoft JhengHei"/>
        <family val="2"/>
        <charset val="136"/>
      </rPr>
      <t>18</t>
    </r>
    <r>
      <rPr>
        <sz val="10"/>
        <rFont val="Noto Sans CJK SC"/>
        <family val="2"/>
      </rPr>
      <t>萬</t>
    </r>
    <r>
      <rPr>
        <sz val="10"/>
        <rFont val="Microsoft JhengHei"/>
        <family val="2"/>
        <charset val="136"/>
      </rPr>
      <t>+</t>
    </r>
    <r>
      <rPr>
        <sz val="10"/>
        <rFont val="Noto Sans CJK SC"/>
        <family val="2"/>
      </rPr>
      <t>自付</t>
    </r>
    <r>
      <rPr>
        <sz val="10"/>
        <rFont val="Microsoft JhengHei"/>
        <family val="2"/>
        <charset val="136"/>
      </rPr>
      <t>2</t>
    </r>
    <r>
      <rPr>
        <sz val="10"/>
        <rFont val="Noto Sans CJK SC"/>
        <family val="2"/>
      </rPr>
      <t>萬</t>
    </r>
    <r>
      <rPr>
        <sz val="10"/>
        <rFont val="Microsoft JhengHei"/>
        <family val="2"/>
        <charset val="136"/>
      </rPr>
      <t>,</t>
    </r>
    <r>
      <rPr>
        <sz val="10"/>
        <rFont val="Noto Sans CJK SC"/>
        <family val="2"/>
      </rPr>
      <t>請以申請須知為準</t>
    </r>
  </si>
  <si>
    <t>https://eii.nat.gov.tw/moeai-plus/uploads/downloads/01KXHVG2BBBWKXBZ991F4NEFQD.pdf</t>
  </si>
  <si>
    <t>工具、算力或平台</t>
  </si>
  <si>
    <t>產業競爭力輔導團-AI工具庫(上架與導入補助)</t>
  </si>
  <si>
    <t>已盤點397項符合資安規範的AI工具;獲輔導企業導入工具庫方案可獲補助;審查重點為AI規格性能、資安保護、維運保證</t>
  </si>
  <si>
    <t>每家企業AI工具導入補助最高10萬</t>
  </si>
  <si>
    <t>補助</t>
  </si>
  <si>
    <t>企業(需先完成診斷);AI工具商可申請上架</t>
  </si>
  <si>
    <t>工具商上架受理至116年11月20日18:00(搜尋摘要)</t>
  </si>
  <si>
    <t>補助最高10萬與397項工具已由官方PDF、中央社核對;上架截止日僅取自搜尋摘要(產業署網頁禁止擷取)</t>
  </si>
  <si>
    <t>https://ida.gov.tw/ctlr?PRO=news.NewsView&amp;id=43292&amp;type=Insights</t>
  </si>
  <si>
    <t>雲市集工業館-AI工具庫點數補助計畫</t>
  </si>
  <si>
    <t>補助中小型製造業採購上架於雲市集工業館的AI應用方案;1點折抵1元,至多折抵一半服務費</t>
  </si>
  <si>
    <t>每家最高15萬點(1點=1元)</t>
  </si>
  <si>
    <t>點數折抵</t>
  </si>
  <si>
    <t>官方公告受理至2026-10-30 17:30,但有報導稱點數已於2026-07用罄</t>
  </si>
  <si>
    <t>未確認(可能已用罄)</t>
  </si>
  <si>
    <t>中小企業處頁面核對期限與資格;輔導資源查詢頁卻顯示受理至117年10月20日,兩官方頁不一致;「點數用罄」僅見單一部落格,請向產發署確認是否仍可申請</t>
  </si>
  <si>
    <t>https://www.sme.gov.tw/caas/article-caas-3059-20513</t>
  </si>
  <si>
    <t>中小及新創企業署</t>
  </si>
  <si>
    <t>提升中小企業智慧化經營效能計畫(診斷、AI應用教案、AI導入應用輔導)</t>
  </si>
  <si>
    <r>
      <rPr>
        <sz val="10"/>
        <rFont val="Microsoft JhengHei"/>
        <family val="2"/>
        <charset val="136"/>
      </rPr>
      <t>115</t>
    </r>
    <r>
      <rPr>
        <sz val="10"/>
        <rFont val="Noto Sans CJK SC"/>
        <family val="2"/>
      </rPr>
      <t>年度三大措施</t>
    </r>
    <r>
      <rPr>
        <sz val="10"/>
        <rFont val="Microsoft JhengHei"/>
        <family val="2"/>
        <charset val="136"/>
      </rPr>
      <t>;AI</t>
    </r>
    <r>
      <rPr>
        <sz val="10"/>
        <rFont val="Noto Sans CJK SC"/>
        <family val="2"/>
      </rPr>
      <t>導入應用輔導由資訊軟體協會執行</t>
    </r>
    <r>
      <rPr>
        <sz val="10"/>
        <rFont val="Microsoft JhengHei"/>
        <family val="2"/>
        <charset val="136"/>
      </rPr>
      <t>,</t>
    </r>
    <r>
      <rPr>
        <sz val="10"/>
        <rFont val="Noto Sans CJK SC"/>
        <family val="2"/>
      </rPr>
      <t>每案輔導總經費最高</t>
    </r>
    <r>
      <rPr>
        <sz val="10"/>
        <rFont val="Microsoft JhengHei"/>
        <family val="2"/>
        <charset val="136"/>
      </rPr>
      <t>350</t>
    </r>
    <r>
      <rPr>
        <sz val="10"/>
        <rFont val="Noto Sans CJK SC"/>
        <family val="2"/>
      </rPr>
      <t>萬、每家</t>
    </r>
    <r>
      <rPr>
        <sz val="10"/>
        <rFont val="Microsoft JhengHei"/>
        <family val="2"/>
        <charset val="136"/>
      </rPr>
      <t>35,000</t>
    </r>
    <r>
      <rPr>
        <sz val="10"/>
        <rFont val="Noto Sans CJK SC"/>
        <family val="2"/>
      </rPr>
      <t>元、每案帶動</t>
    </r>
    <r>
      <rPr>
        <sz val="10"/>
        <rFont val="Microsoft JhengHei"/>
        <family val="2"/>
        <charset val="136"/>
      </rPr>
      <t>60</t>
    </r>
    <r>
      <rPr>
        <sz val="10"/>
        <rFont val="Noto Sans CJK SC"/>
        <family val="2"/>
      </rPr>
      <t>至</t>
    </r>
    <r>
      <rPr>
        <sz val="10"/>
        <rFont val="Microsoft JhengHei"/>
        <family val="2"/>
        <charset val="136"/>
      </rPr>
      <t>100</t>
    </r>
    <r>
      <rPr>
        <sz val="10"/>
        <rFont val="Noto Sans CJK SC"/>
        <family val="2"/>
      </rPr>
      <t>家</t>
    </r>
  </si>
  <si>
    <t>每案輔導總經費(含稅)</t>
  </si>
  <si>
    <t>輔導(法人或企業提案)</t>
  </si>
  <si>
    <t>法人、公協會或企業提案;受輔導者為中小企業</t>
  </si>
  <si>
    <t>線上提案至2026-03-10 17:00;執行至2026-11-15</t>
  </si>
  <si>
    <t>經濟部新聞與115年度申請須知核對;已截止</t>
  </si>
  <si>
    <t>https://www.moea.gov.tw/MNS/populace/news/News.aspx?kind=1&amp;menu_id=40&amp;news_id=121811</t>
  </si>
  <si>
    <t>中小及新創企業署(資策會窗口)</t>
  </si>
  <si>
    <t>中小微企業AI創新應用輔導計畫</t>
  </si>
  <si>
    <t>針對高成長潛力中小型製造與服務業提供AI深入輔導,以大帶小</t>
  </si>
  <si>
    <t>頁面未載金額</t>
  </si>
  <si>
    <t>輔導</t>
  </si>
  <si>
    <t>中小企業</t>
  </si>
  <si>
    <t>頁面更新日2026-06-24,未載申請期間</t>
  </si>
  <si>
    <t>官方頁核對輔導性質與對象;金額與申請期間未載</t>
  </si>
  <si>
    <t>https://www.sme.gov.tw/article-tw-2877-13891</t>
  </si>
  <si>
    <t>商業發展署</t>
  </si>
  <si>
    <t>服務業AI升級(服務業韌性):單店、多店、整合型</t>
  </si>
  <si>
    <t>單店導入AI工具;20至50家連鎖或加盟;跨至少3處場域的AI軟硬體整合</t>
  </si>
  <si>
    <t>單店最高10萬(補助50%);多店最高300萬;整合型最高2,000萬</t>
  </si>
  <si>
    <t>商業服務業店家、連鎖品牌</t>
  </si>
  <si>
    <t>單店受理至2027-10-20或經費用罄(二手整理)</t>
  </si>
  <si>
    <r>
      <rPr>
        <sz val="10"/>
        <rFont val="Microsoft JhengHei"/>
        <family val="2"/>
        <charset val="136"/>
      </rPr>
      <t>10</t>
    </r>
    <r>
      <rPr>
        <sz val="10"/>
        <rFont val="Noto Sans CJK SC"/>
        <family val="2"/>
      </rPr>
      <t>萬</t>
    </r>
    <r>
      <rPr>
        <sz val="10"/>
        <rFont val="Microsoft JhengHei"/>
        <family val="2"/>
        <charset val="136"/>
      </rPr>
      <t>/300</t>
    </r>
    <r>
      <rPr>
        <sz val="10"/>
        <rFont val="Noto Sans CJK SC"/>
        <family val="2"/>
      </rPr>
      <t>萬</t>
    </r>
    <r>
      <rPr>
        <sz val="10"/>
        <rFont val="Microsoft JhengHei"/>
        <family val="2"/>
        <charset val="136"/>
      </rPr>
      <t>/2,000</t>
    </r>
    <r>
      <rPr>
        <sz val="10"/>
        <rFont val="Noto Sans CJK SC"/>
        <family val="2"/>
      </rPr>
      <t>萬多家媒體一致</t>
    </r>
    <r>
      <rPr>
        <sz val="10"/>
        <rFont val="Microsoft JhengHei"/>
        <family val="2"/>
        <charset val="136"/>
      </rPr>
      <t>;</t>
    </r>
    <r>
      <rPr>
        <sz val="10"/>
        <rFont val="Noto Sans CJK SC"/>
        <family val="2"/>
      </rPr>
      <t>受理期間僅見二手資料</t>
    </r>
    <r>
      <rPr>
        <sz val="10"/>
        <rFont val="Microsoft JhengHei"/>
        <family val="2"/>
        <charset val="136"/>
      </rPr>
      <t>;</t>
    </r>
    <r>
      <rPr>
        <sz val="10"/>
        <rFont val="Noto Sans CJK SC"/>
        <family val="2"/>
      </rPr>
      <t>另有</t>
    </r>
    <r>
      <rPr>
        <sz val="10"/>
        <rFont val="Microsoft JhengHei"/>
        <family val="2"/>
        <charset val="136"/>
      </rPr>
      <t>2025-12</t>
    </r>
    <r>
      <rPr>
        <sz val="10"/>
        <rFont val="Noto Sans CJK SC"/>
        <family val="2"/>
      </rPr>
      <t>報導寫「</t>
    </r>
    <r>
      <rPr>
        <sz val="10"/>
        <rFont val="Microsoft JhengHei"/>
        <family val="2"/>
        <charset val="136"/>
      </rPr>
      <t>2,000</t>
    </r>
    <r>
      <rPr>
        <sz val="10"/>
        <rFont val="Noto Sans CJK SC"/>
        <family val="2"/>
      </rPr>
      <t>萬至</t>
    </r>
    <r>
      <rPr>
        <sz val="10"/>
        <rFont val="Microsoft JhengHei"/>
        <family val="2"/>
        <charset val="136"/>
      </rPr>
      <t>3,000</t>
    </r>
    <r>
      <rPr>
        <sz val="10"/>
        <rFont val="Noto Sans CJK SC"/>
        <family val="2"/>
      </rPr>
      <t>萬」</t>
    </r>
    <r>
      <rPr>
        <sz val="10"/>
        <rFont val="Microsoft JhengHei"/>
        <family val="2"/>
        <charset val="136"/>
      </rPr>
      <t>,</t>
    </r>
    <r>
      <rPr>
        <sz val="10"/>
        <rFont val="Noto Sans CJK SC"/>
        <family val="2"/>
      </rPr>
      <t>金額定義有出入</t>
    </r>
    <r>
      <rPr>
        <sz val="10"/>
        <rFont val="Microsoft JhengHei"/>
        <family val="2"/>
        <charset val="136"/>
      </rPr>
      <t>,</t>
    </r>
    <r>
      <rPr>
        <sz val="10"/>
        <rFont val="Noto Sans CJK SC"/>
        <family val="2"/>
      </rPr>
      <t>請以商發署公告為準</t>
    </r>
  </si>
  <si>
    <t>https://www.cio.com.tw/115430/</t>
  </si>
  <si>
    <r>
      <rPr>
        <sz val="10"/>
        <rFont val="Microsoft JhengHei"/>
        <family val="2"/>
        <charset val="136"/>
      </rPr>
      <t>SME AI</t>
    </r>
    <r>
      <rPr>
        <sz val="10"/>
        <rFont val="Noto Sans CJK SC"/>
        <family val="2"/>
      </rPr>
      <t>平台與中小企業網路大學校</t>
    </r>
  </si>
  <si>
    <t>整合可信AI工具與服務入口;網路大學校AI專區課程(媒體報導近200門)</t>
  </si>
  <si>
    <t>免費資源,無補助金額</t>
  </si>
  <si>
    <t>平台與課程</t>
  </si>
  <si>
    <t>中小企業主與員工</t>
  </si>
  <si>
    <t>中企署簡報(2025-03)載AI課程91門,2026媒體報導近200門,課程數隨時間增加;未逐一核對平台現況。你提供的115年方案彙整表載明「中小企業網路大學校計畫(AI主題課程)」補助:單一企業最高15萬、聯合型最高30萬,受理至2026-07-31 17:00(經費用罄可提前截止),此補助應已截止;平台本身是否仍開放未另行核對</t>
  </si>
  <si>
    <t>https://www.sme.gov.tw/drsme/drsme/Plan/plan_more?id=176a4cbd88b840358f46314988b1c408</t>
  </si>
  <si>
    <t>第二則(其他部會)</t>
  </si>
  <si>
    <t>數位發展部</t>
  </si>
  <si>
    <t>數位產業署</t>
  </si>
  <si>
    <r>
      <rPr>
        <sz val="10"/>
        <rFont val="Microsoft JhengHei"/>
        <family val="2"/>
        <charset val="136"/>
      </rPr>
      <t>AI</t>
    </r>
    <r>
      <rPr>
        <sz val="10"/>
        <rFont val="Noto Sans CJK SC"/>
        <family val="2"/>
      </rPr>
      <t>創新服務研發補助計畫</t>
    </r>
    <r>
      <rPr>
        <sz val="10"/>
        <rFont val="Microsoft JhengHei"/>
        <family val="2"/>
        <charset val="136"/>
      </rPr>
      <t>(115</t>
    </r>
    <r>
      <rPr>
        <sz val="10"/>
        <rFont val="Noto Sans CJK SC"/>
        <family val="2"/>
      </rPr>
      <t>年</t>
    </r>
    <r>
      <rPr>
        <sz val="10"/>
        <rFont val="Microsoft JhengHei"/>
        <family val="2"/>
        <charset val="136"/>
      </rPr>
      <t>)</t>
    </r>
  </si>
  <si>
    <t>協助軟體與資訊服務業者開發可產品化、可擴散的AI服務,協助中小企業降成本</t>
  </si>
  <si>
    <r>
      <rPr>
        <sz val="10"/>
        <rFont val="Microsoft JhengHei"/>
        <family val="2"/>
        <charset val="136"/>
      </rPr>
      <t>AI Agent</t>
    </r>
    <r>
      <rPr>
        <sz val="10"/>
        <rFont val="Noto Sans CJK SC"/>
        <family val="2"/>
      </rPr>
      <t>整合服務最高</t>
    </r>
    <r>
      <rPr>
        <sz val="10"/>
        <rFont val="Microsoft JhengHei"/>
        <family val="2"/>
        <charset val="136"/>
      </rPr>
      <t>2,000</t>
    </r>
    <r>
      <rPr>
        <sz val="10"/>
        <rFont val="Noto Sans CJK SC"/>
        <family val="2"/>
      </rPr>
      <t>萬</t>
    </r>
    <r>
      <rPr>
        <sz val="10"/>
        <rFont val="Microsoft JhengHei"/>
        <family val="2"/>
        <charset val="136"/>
      </rPr>
      <t>;AI</t>
    </r>
    <r>
      <rPr>
        <sz val="10"/>
        <rFont val="Noto Sans CJK SC"/>
        <family val="2"/>
      </rPr>
      <t>創新應用服務最高</t>
    </r>
    <r>
      <rPr>
        <sz val="10"/>
        <rFont val="Microsoft JhengHei"/>
        <family val="2"/>
        <charset val="136"/>
      </rPr>
      <t>500</t>
    </r>
    <r>
      <rPr>
        <sz val="10"/>
        <rFont val="Noto Sans CJK SC"/>
        <family val="2"/>
      </rPr>
      <t>萬</t>
    </r>
    <r>
      <rPr>
        <sz val="10"/>
        <rFont val="Microsoft JhengHei"/>
        <family val="2"/>
        <charset val="136"/>
      </rPr>
      <t>;</t>
    </r>
    <r>
      <rPr>
        <sz val="10"/>
        <rFont val="Noto Sans CJK SC"/>
        <family val="2"/>
      </rPr>
      <t>不超過總經費</t>
    </r>
    <r>
      <rPr>
        <sz val="10"/>
        <rFont val="Microsoft JhengHei"/>
        <family val="2"/>
        <charset val="136"/>
      </rPr>
      <t>50%;</t>
    </r>
    <r>
      <rPr>
        <sz val="10"/>
        <rFont val="Noto Sans CJK SC"/>
        <family val="2"/>
      </rPr>
      <t>每企業限</t>
    </r>
    <r>
      <rPr>
        <sz val="10"/>
        <rFont val="Microsoft JhengHei"/>
        <family val="2"/>
        <charset val="136"/>
      </rPr>
      <t>1</t>
    </r>
    <r>
      <rPr>
        <sz val="10"/>
        <rFont val="Noto Sans CJK SC"/>
        <family val="2"/>
      </rPr>
      <t>案</t>
    </r>
  </si>
  <si>
    <t>軟體與資訊服務業者</t>
  </si>
  <si>
    <t>申請至2026-07-24 16:59:59(DIGITAL+平台);計畫期程至2026-11-16或2027-11-16</t>
  </si>
  <si>
    <t>更正:先前回答把計畫期程當成期限;實際申請截止為2026-07-24,已截止。來源為輔導顧問網站,未取得數發部原公告。與你提供的115年中小企業競爭力方案彙整表一致(申請至2026-07-24、上限500萬/2,000萬、期程至2026-11-16)</t>
  </si>
  <si>
    <t>https://www.jfetek.com/news/6</t>
  </si>
  <si>
    <r>
      <rPr>
        <sz val="10"/>
        <rFont val="Microsoft JhengHei"/>
        <family val="2"/>
        <charset val="136"/>
      </rPr>
      <t>AI</t>
    </r>
    <r>
      <rPr>
        <sz val="10"/>
        <rFont val="Noto Sans CJK SC"/>
        <family val="2"/>
      </rPr>
      <t>領航推動計畫</t>
    </r>
    <r>
      <rPr>
        <sz val="10"/>
        <rFont val="Microsoft JhengHei"/>
        <family val="2"/>
        <charset val="136"/>
      </rPr>
      <t>(112–114</t>
    </r>
    <r>
      <rPr>
        <sz val="10"/>
        <rFont val="Noto Sans CJK SC"/>
        <family val="2"/>
      </rPr>
      <t>年</t>
    </r>
    <r>
      <rPr>
        <sz val="10"/>
        <rFont val="Microsoft JhengHei"/>
        <family val="2"/>
        <charset val="136"/>
      </rPr>
      <t>)</t>
    </r>
  </si>
  <si>
    <t>協助企業開發AI創新應用並落地商轉</t>
  </si>
  <si>
    <r>
      <rPr>
        <sz val="10"/>
        <rFont val="Microsoft JhengHei"/>
        <family val="2"/>
        <charset val="136"/>
      </rPr>
      <t>112</t>
    </r>
    <r>
      <rPr>
        <sz val="10"/>
        <rFont val="Noto Sans CJK SC"/>
        <family val="2"/>
      </rPr>
      <t>年徵案每案最高</t>
    </r>
    <r>
      <rPr>
        <sz val="10"/>
        <rFont val="Microsoft JhengHei"/>
        <family val="2"/>
        <charset val="136"/>
      </rPr>
      <t>2,000</t>
    </r>
    <r>
      <rPr>
        <sz val="10"/>
        <rFont val="Noto Sans CJK SC"/>
        <family val="2"/>
      </rPr>
      <t>萬</t>
    </r>
    <r>
      <rPr>
        <sz val="10"/>
        <rFont val="Microsoft JhengHei"/>
        <family val="2"/>
        <charset val="136"/>
      </rPr>
      <t>,</t>
    </r>
    <r>
      <rPr>
        <sz val="10"/>
        <rFont val="Noto Sans CJK SC"/>
        <family val="2"/>
      </rPr>
      <t>不超過總經費</t>
    </r>
    <r>
      <rPr>
        <sz val="10"/>
        <rFont val="Microsoft JhengHei"/>
        <family val="2"/>
        <charset val="136"/>
      </rPr>
      <t>50%</t>
    </r>
  </si>
  <si>
    <t>官方頁載執行至114年底</t>
  </si>
  <si>
    <t>已結束</t>
  </si>
  <si>
    <t>官方頁確認執行至114年底;2,000萬為2023年徵案報導數字;115年後續計畫未查到</t>
  </si>
  <si>
    <t>https://moda.gov.tw/major-policies/ai/industry/19254</t>
  </si>
  <si>
    <t>數位發展署</t>
  </si>
  <si>
    <t>導入AI應用實作計畫</t>
  </si>
  <si>
    <t>由資訊軟體協會執行,以工作坊協助各行業中小企業導入AI</t>
  </si>
  <si>
    <t>工作坊輔導</t>
  </si>
  <si>
    <t>僅見校方轉載2026-01新聞,金額與期限未查到</t>
  </si>
  <si>
    <t>https://aict.nkust.edu.tw/digitrans/?cat=566</t>
  </si>
  <si>
    <t>加強投資AI新創實施方案</t>
  </si>
  <si>
    <r>
      <rPr>
        <sz val="10"/>
        <rFont val="Microsoft JhengHei"/>
        <family val="2"/>
        <charset val="136"/>
      </rPr>
      <t>100</t>
    </r>
    <r>
      <rPr>
        <sz val="10"/>
        <rFont val="Noto Sans CJK SC"/>
        <family val="2"/>
      </rPr>
      <t>億元基金投資</t>
    </r>
    <r>
      <rPr>
        <sz val="10"/>
        <rFont val="Microsoft JhengHei"/>
        <family val="2"/>
        <charset val="136"/>
      </rPr>
      <t>AI</t>
    </r>
    <r>
      <rPr>
        <sz val="10"/>
        <rFont val="Noto Sans CJK SC"/>
        <family val="2"/>
      </rPr>
      <t>新創</t>
    </r>
    <r>
      <rPr>
        <sz val="10"/>
        <rFont val="Microsoft JhengHei"/>
        <family val="2"/>
        <charset val="136"/>
      </rPr>
      <t>;</t>
    </r>
    <r>
      <rPr>
        <sz val="10"/>
        <rFont val="Noto Sans CJK SC"/>
        <family val="2"/>
      </rPr>
      <t>截至</t>
    </r>
    <r>
      <rPr>
        <sz val="10"/>
        <rFont val="Microsoft JhengHei"/>
        <family val="2"/>
        <charset val="136"/>
      </rPr>
      <t>2026</t>
    </r>
    <r>
      <rPr>
        <sz val="10"/>
        <rFont val="Noto Sans CJK SC"/>
        <family val="2"/>
      </rPr>
      <t>年</t>
    </r>
    <r>
      <rPr>
        <sz val="10"/>
        <rFont val="Microsoft JhengHei"/>
        <family val="2"/>
        <charset val="136"/>
      </rPr>
      <t>2</t>
    </r>
    <r>
      <rPr>
        <sz val="10"/>
        <rFont val="Noto Sans CJK SC"/>
        <family val="2"/>
      </rPr>
      <t>月已核定</t>
    </r>
    <r>
      <rPr>
        <sz val="10"/>
        <rFont val="Microsoft JhengHei"/>
        <family val="2"/>
        <charset val="136"/>
      </rPr>
      <t>6</t>
    </r>
    <r>
      <rPr>
        <sz val="10"/>
        <rFont val="Noto Sans CJK SC"/>
        <family val="2"/>
      </rPr>
      <t>案</t>
    </r>
    <r>
      <rPr>
        <sz val="10"/>
        <rFont val="Microsoft JhengHei"/>
        <family val="2"/>
        <charset val="136"/>
      </rPr>
      <t>,</t>
    </r>
    <r>
      <rPr>
        <sz val="10"/>
        <rFont val="Noto Sans CJK SC"/>
        <family val="2"/>
      </rPr>
      <t>帶動民間投資逾</t>
    </r>
    <r>
      <rPr>
        <sz val="10"/>
        <rFont val="Microsoft JhengHei"/>
        <family val="2"/>
        <charset val="136"/>
      </rPr>
      <t>3</t>
    </r>
    <r>
      <rPr>
        <sz val="10"/>
        <rFont val="Noto Sans CJK SC"/>
        <family val="2"/>
      </rPr>
      <t>億元</t>
    </r>
  </si>
  <si>
    <t>基金規模100億元,非每案上限</t>
  </si>
  <si>
    <t>投資</t>
  </si>
  <si>
    <r>
      <rPr>
        <sz val="10"/>
        <rFont val="Microsoft JhengHei"/>
        <family val="2"/>
        <charset val="136"/>
      </rPr>
      <t>AI</t>
    </r>
    <r>
      <rPr>
        <sz val="10"/>
        <rFont val="Noto Sans CJK SC"/>
        <family val="2"/>
      </rPr>
      <t>新創</t>
    </r>
  </si>
  <si>
    <t>僅鉅亨/優分析報導(引述數發部),未取得官方公告</t>
  </si>
  <si>
    <t>https://uanalyze.com.tw/articles/1078148404</t>
  </si>
  <si>
    <t>國科會</t>
  </si>
  <si>
    <t>經濟部商業發展署(協辦)</t>
  </si>
  <si>
    <t>智慧雨林產業創生補助-AI中央廚房(大南方新矽谷)</t>
  </si>
  <si>
    <t>聚焦中央廚房與智慧餐廚場域;商業服務業者、資服業者、大專校院三方合作;場域限嘉義、臺南、高雄、屏東</t>
  </si>
  <si>
    <t>業者每年每案最高3,000萬;大專院校每年每案500萬;期程兩年</t>
  </si>
  <si>
    <t>中央廚房營運業者(主提案者)</t>
  </si>
  <si>
    <r>
      <rPr>
        <sz val="10"/>
        <rFont val="Microsoft JhengHei"/>
        <family val="2"/>
        <charset val="136"/>
      </rPr>
      <t>115</t>
    </r>
    <r>
      <rPr>
        <sz val="10"/>
        <rFont val="Noto Sans CJK SC"/>
        <family val="2"/>
      </rPr>
      <t>年度徵案</t>
    </r>
    <r>
      <rPr>
        <sz val="10"/>
        <rFont val="Microsoft JhengHei"/>
        <family val="2"/>
        <charset val="136"/>
      </rPr>
      <t>2025-12-05</t>
    </r>
    <r>
      <rPr>
        <sz val="10"/>
        <rFont val="Noto Sans CJK SC"/>
        <family val="2"/>
      </rPr>
      <t>至</t>
    </r>
    <r>
      <rPr>
        <sz val="10"/>
        <rFont val="Microsoft JhengHei"/>
        <family val="2"/>
        <charset val="136"/>
      </rPr>
      <t>2026-01-20</t>
    </r>
    <r>
      <rPr>
        <sz val="10"/>
        <rFont val="Noto Sans CJK SC"/>
        <family val="2"/>
      </rPr>
      <t>已截止</t>
    </r>
    <r>
      <rPr>
        <sz val="10"/>
        <rFont val="Microsoft JhengHei"/>
        <family val="2"/>
        <charset val="136"/>
      </rPr>
      <t>;2026-04</t>
    </r>
    <r>
      <rPr>
        <sz val="10"/>
        <rFont val="Noto Sans CJK SC"/>
        <family val="2"/>
      </rPr>
      <t>報導稱再次徵案</t>
    </r>
    <r>
      <rPr>
        <sz val="10"/>
        <rFont val="Microsoft JhengHei"/>
        <family val="2"/>
        <charset val="136"/>
      </rPr>
      <t>,</t>
    </r>
    <r>
      <rPr>
        <sz val="10"/>
        <rFont val="Noto Sans CJK SC"/>
        <family val="2"/>
      </rPr>
      <t>日期未載</t>
    </r>
  </si>
  <si>
    <t>徵案公告(校方轉載)與工商時報金額一致;再次徵案的期限未能確認</t>
  </si>
  <si>
    <t>https://news.stust.edu.tw/id/91744</t>
  </si>
  <si>
    <t>農業部</t>
  </si>
  <si>
    <r>
      <rPr>
        <sz val="10"/>
        <rFont val="Microsoft JhengHei"/>
        <family val="2"/>
        <charset val="136"/>
      </rPr>
      <t>AI</t>
    </r>
    <r>
      <rPr>
        <sz val="10"/>
        <rFont val="Noto Sans CJK SC"/>
        <family val="2"/>
      </rPr>
      <t>導入農漁畜智能模組研發與建構</t>
    </r>
    <r>
      <rPr>
        <sz val="10"/>
        <rFont val="Microsoft JhengHei"/>
        <family val="2"/>
        <charset val="136"/>
      </rPr>
      <t>(115–116</t>
    </r>
    <r>
      <rPr>
        <sz val="10"/>
        <rFont val="Noto Sans CJK SC"/>
        <family val="2"/>
      </rPr>
      <t>年度</t>
    </r>
    <r>
      <rPr>
        <sz val="10"/>
        <rFont val="Microsoft JhengHei"/>
        <family val="2"/>
        <charset val="136"/>
      </rPr>
      <t>)</t>
    </r>
  </si>
  <si>
    <t>建構病蟲害判識、智慧栽培養殖等公版模組</t>
  </si>
  <si>
    <t>公告摘要未載金額</t>
  </si>
  <si>
    <t>研發委託</t>
  </si>
  <si>
    <t>大專校院團隊</t>
  </si>
  <si>
    <t>否</t>
  </si>
  <si>
    <t>徵求期間2025-10-03至2025-10-24</t>
  </si>
  <si>
    <t>校方轉載農業部徵求公告,已截止;企業不是主要申請者</t>
  </si>
  <si>
    <t>https://news.stust.edu.tw/id/90940</t>
  </si>
  <si>
    <t>衛生福利部</t>
  </si>
  <si>
    <t>資訊處</t>
  </si>
  <si>
    <t>第二、三類AI中心補助計畫(115年)</t>
  </si>
  <si>
    <t>補助醫院的臨床AI取證驗證中心與AI影響性研究中心</t>
  </si>
  <si>
    <t>每案500萬或750萬(公告未說明各適用對象);全案預算5,750萬</t>
  </si>
  <si>
    <t>完成114年度「次世代數位醫療平臺」三大AI中心計畫的醫院</t>
  </si>
  <si>
    <t>受理至2026-09-21 17:00;執行期365日</t>
  </si>
  <si>
    <t>衛福部官方頁核對;更正:已截止,且對象限特定醫院</t>
  </si>
  <si>
    <t>https://www.mohw.gov.tw/cp-7283-87899-1.html</t>
  </si>
  <si>
    <r>
      <rPr>
        <sz val="10"/>
        <rFont val="Microsoft JhengHei"/>
        <family val="2"/>
        <charset val="136"/>
      </rPr>
      <t>AI</t>
    </r>
    <r>
      <rPr>
        <sz val="10"/>
        <rFont val="Noto Sans CJK SC"/>
        <family val="2"/>
      </rPr>
      <t>算力平台</t>
    </r>
  </si>
  <si>
    <t>免費提供NVIDIA、AMD GPU算力;點數制(訓練1點=0.5 GPU小時),使用期三個月;禁用中國來源開源模型(如DeepSeek)</t>
  </si>
  <si>
    <t>免費,訓練類L1/L2/L3為1,000/2,000/6,000點</t>
  </si>
  <si>
    <t>免費資源</t>
  </si>
  <si>
    <t>數位經濟產業業者(軟體、資訊服務、電商、第三方支付等),成立未滿8年新創優先</t>
  </si>
  <si>
    <t>申請至2026-10-30 23:59,線上申請需工商憑證</t>
  </si>
  <si>
    <r>
      <rPr>
        <sz val="10"/>
        <rFont val="Microsoft JhengHei"/>
        <family val="2"/>
        <charset val="136"/>
      </rPr>
      <t>2026-08-14</t>
    </r>
    <r>
      <rPr>
        <sz val="10"/>
        <rFont val="Noto Sans CJK SC"/>
        <family val="2"/>
      </rPr>
      <t>版申請須知核對</t>
    </r>
    <r>
      <rPr>
        <sz val="10"/>
        <rFont val="Microsoft JhengHei"/>
        <family val="2"/>
        <charset val="136"/>
      </rPr>
      <t>;</t>
    </r>
    <r>
      <rPr>
        <sz val="10"/>
        <rFont val="Noto Sans CJK SC"/>
        <family val="2"/>
      </rPr>
      <t>更正</t>
    </r>
    <r>
      <rPr>
        <sz val="10"/>
        <rFont val="Microsoft JhengHei"/>
        <family val="2"/>
        <charset val="136"/>
      </rPr>
      <t>:</t>
    </r>
    <r>
      <rPr>
        <sz val="10"/>
        <rFont val="Noto Sans CJK SC"/>
        <family val="2"/>
      </rPr>
      <t>資格不只資服與新創</t>
    </r>
    <r>
      <rPr>
        <sz val="10"/>
        <rFont val="Microsoft JhengHei"/>
        <family val="2"/>
        <charset val="136"/>
      </rPr>
      <t>,</t>
    </r>
    <r>
      <rPr>
        <sz val="10"/>
        <rFont val="Noto Sans CJK SC"/>
        <family val="2"/>
      </rPr>
      <t>涵蓋多類數位經濟產業</t>
    </r>
  </si>
  <si>
    <t>https://www-api.moda.gov.tw/File/Get/adi/zh-tw/owvBgtTcGlT8cjT</t>
  </si>
  <si>
    <t>台灣主權AI訓練語料庫</t>
  </si>
  <si>
    <t>累積逾11億個Token,逾200個政府機關參與</t>
  </si>
  <si>
    <t>資料資源,無金額</t>
  </si>
  <si>
    <t>資料資源</t>
  </si>
  <si>
    <t>公部門與研究機構為主</t>
  </si>
  <si>
    <t>僅媒體報導(引述數發部),企業使用條件未查到</t>
  </si>
  <si>
    <t>臺灣雲市集 TCloud</t>
  </si>
  <si>
    <t>提供雲端工具;官網公告因計畫結束及政策調整,服務將配合調整</t>
  </si>
  <si>
    <t>未核對(二手資料提及3萬點)</t>
  </si>
  <si>
    <t>不限產業</t>
  </si>
  <si>
    <t>計畫結束中,日期未載</t>
  </si>
  <si>
    <t>未確認(計畫結束中)</t>
  </si>
  <si>
    <t>僅見部落格轉述官網公告,本次未能讀取官網</t>
  </si>
  <si>
    <t>https://www.yutuo-tech.com/blog/ai-subsidy-2026/</t>
  </si>
  <si>
    <t>大南方AI算力與TAIDE</t>
  </si>
  <si>
    <t>提升算力並精進臺版大型語言模型TAIDE,發展主權AI</t>
  </si>
  <si>
    <t>無金額</t>
  </si>
  <si>
    <t>研究與生態系資源</t>
  </si>
  <si>
    <t>研究機構與生態系</t>
  </si>
  <si>
    <t>依2025-01 iThome報導,為政策規劃,企業使用方式未查到</t>
  </si>
  <si>
    <t>https://www.ithome.com.tw/news/167005</t>
  </si>
  <si>
    <r>
      <rPr>
        <sz val="10"/>
        <rFont val="Microsoft JhengHei"/>
        <family val="2"/>
        <charset val="136"/>
      </rPr>
      <t>AI</t>
    </r>
    <r>
      <rPr>
        <sz val="10"/>
        <rFont val="Noto Sans CJK SC"/>
        <family val="2"/>
      </rPr>
      <t>人才培訓</t>
    </r>
  </si>
  <si>
    <t>勞動部</t>
  </si>
  <si>
    <t>勞動力發展署</t>
  </si>
  <si>
    <t>產業新尖兵計畫</t>
  </si>
  <si>
    <r>
      <rPr>
        <sz val="10"/>
        <rFont val="Microsoft JhengHei"/>
        <family val="2"/>
        <charset val="136"/>
      </rPr>
      <t>AI</t>
    </r>
    <r>
      <rPr>
        <sz val="10"/>
        <rFont val="Noto Sans CJK SC"/>
        <family val="2"/>
      </rPr>
      <t>相關訓練課程</t>
    </r>
    <r>
      <rPr>
        <sz val="10"/>
        <rFont val="Microsoft JhengHei"/>
        <family val="2"/>
        <charset val="136"/>
      </rPr>
      <t>;</t>
    </r>
    <r>
      <rPr>
        <sz val="10"/>
        <rFont val="Noto Sans CJK SC"/>
        <family val="2"/>
      </rPr>
      <t>每人另有最高</t>
    </r>
    <r>
      <rPr>
        <sz val="10"/>
        <rFont val="Microsoft JhengHei"/>
        <family val="2"/>
        <charset val="136"/>
      </rPr>
      <t>9.6</t>
    </r>
    <r>
      <rPr>
        <sz val="10"/>
        <rFont val="Noto Sans CJK SC"/>
        <family val="2"/>
      </rPr>
      <t>萬學習獎勵金</t>
    </r>
  </si>
  <si>
    <t>每人最高10萬課程費補助</t>
  </si>
  <si>
    <t>課程費補助</t>
  </si>
  <si>
    <r>
      <rPr>
        <sz val="10"/>
        <rFont val="Microsoft JhengHei"/>
        <family val="2"/>
        <charset val="136"/>
      </rPr>
      <t>15</t>
    </r>
    <r>
      <rPr>
        <sz val="10"/>
        <rFont val="Noto Sans CJK SC"/>
        <family val="2"/>
      </rPr>
      <t>至</t>
    </r>
    <r>
      <rPr>
        <sz val="10"/>
        <rFont val="Microsoft JhengHei"/>
        <family val="2"/>
        <charset val="136"/>
      </rPr>
      <t>29</t>
    </r>
    <r>
      <rPr>
        <sz val="10"/>
        <rFont val="Noto Sans CJK SC"/>
        <family val="2"/>
      </rPr>
      <t>歲失業或待業青年</t>
    </r>
  </si>
  <si>
    <t>依113年新聞,現行辦法未取得</t>
  </si>
  <si>
    <t>https://www.1111.com.tw/news/jobns/157396</t>
  </si>
  <si>
    <t>產業人才投資方案</t>
  </si>
  <si>
    <t>在職勞工AI等重點產業課程</t>
  </si>
  <si>
    <t>每人3年內最高7萬(舊新聞數字)</t>
  </si>
  <si>
    <t>在職勞工</t>
  </si>
  <si>
    <t>依2023年新聞,現行額度請查勞動力發展署</t>
  </si>
  <si>
    <t>https://www.1111.com.tw/news/jobns/156631</t>
  </si>
  <si>
    <t>完整版已收錄</t>
  </si>
  <si>
    <t>完整版編號</t>
  </si>
  <si>
    <t>上傳清單列號</t>
  </si>
  <si>
    <t>上傳清單(經濟部115年方案)</t>
  </si>
  <si>
    <r>
      <rPr>
        <sz val="10"/>
        <rFont val="Microsoft JhengHei"/>
        <family val="2"/>
        <charset val="136"/>
      </rPr>
      <t>115</t>
    </r>
    <r>
      <rPr>
        <sz val="10"/>
        <rFont val="Noto Sans CJK SC"/>
        <family val="2"/>
      </rPr>
      <t>年度</t>
    </r>
    <r>
      <rPr>
        <sz val="10"/>
        <rFont val="Microsoft JhengHei"/>
        <family val="2"/>
        <charset val="136"/>
      </rPr>
      <t>AI</t>
    </r>
    <r>
      <rPr>
        <sz val="10"/>
        <rFont val="Noto Sans CJK SC"/>
        <family val="2"/>
      </rPr>
      <t>創新服務研發補助計畫</t>
    </r>
  </si>
  <si>
    <t>✓</t>
  </si>
  <si>
    <t>已收錄於「計畫總表」,資料與狀態請見該表對應編號</t>
  </si>
  <si>
    <r>
      <rPr>
        <sz val="10"/>
        <rFont val="Microsoft JhengHei"/>
        <family val="2"/>
        <charset val="136"/>
      </rPr>
      <t>A+</t>
    </r>
    <r>
      <rPr>
        <sz val="10"/>
        <rFont val="Noto Sans CJK SC"/>
        <family val="2"/>
      </rPr>
      <t>企業創新研發淬鍊計畫－前瞻技術創業投資計畫</t>
    </r>
    <r>
      <rPr>
        <sz val="10"/>
        <rFont val="Microsoft JhengHei"/>
        <family val="2"/>
        <charset val="136"/>
      </rPr>
      <t>(A+STEP)</t>
    </r>
  </si>
  <si>
    <t>藉由新創事業熟悉之募資程序，引導法人創投進行專業投資評估，並以商業機制決定補助對象，透過推動本計畫促成法人創投與獲投之新創事業投入前瞻技術開發，並輔以法人創投能量加速落實商業應用。</t>
  </si>
  <si>
    <r>
      <rPr>
        <sz val="10"/>
        <rFont val="Microsoft JhengHei"/>
        <family val="2"/>
        <charset val="136"/>
      </rPr>
      <t>2</t>
    </r>
    <r>
      <rPr>
        <sz val="10"/>
        <rFont val="Noto Sans CJK SC"/>
        <family val="2"/>
      </rPr>
      <t>年最高</t>
    </r>
    <r>
      <rPr>
        <sz val="10"/>
        <rFont val="Microsoft JhengHei"/>
        <family val="2"/>
        <charset val="136"/>
      </rPr>
      <t>3,000</t>
    </r>
    <r>
      <rPr>
        <sz val="10"/>
        <rFont val="Noto Sans CJK SC"/>
        <family val="2"/>
      </rPr>
      <t>萬元（補助比例≤</t>
    </r>
    <r>
      <rPr>
        <sz val="10"/>
        <rFont val="Microsoft JhengHei"/>
        <family val="2"/>
        <charset val="136"/>
      </rPr>
      <t>40%</t>
    </r>
    <r>
      <rPr>
        <sz val="10"/>
        <rFont val="Noto Sans CJK SC"/>
        <family val="2"/>
      </rPr>
      <t>）；新創成立</t>
    </r>
    <r>
      <rPr>
        <sz val="10"/>
        <rFont val="Microsoft JhengHei"/>
        <family val="2"/>
        <charset val="136"/>
      </rPr>
      <t>3</t>
    </r>
    <r>
      <rPr>
        <sz val="10"/>
        <rFont val="Noto Sans CJK SC"/>
        <family val="2"/>
      </rPr>
      <t>年內加碼</t>
    </r>
    <r>
      <rPr>
        <sz val="10"/>
        <rFont val="Microsoft JhengHei"/>
        <family val="2"/>
        <charset val="136"/>
      </rPr>
      <t>20%</t>
    </r>
    <r>
      <rPr>
        <sz val="10"/>
        <rFont val="Noto Sans CJK SC"/>
        <family val="2"/>
      </rPr>
      <t>後</t>
    </r>
    <r>
      <rPr>
        <sz val="10"/>
        <rFont val="Microsoft JhengHei"/>
        <family val="2"/>
        <charset val="136"/>
      </rPr>
      <t>(</t>
    </r>
    <r>
      <rPr>
        <sz val="10"/>
        <rFont val="Noto Sans CJK SC"/>
        <family val="2"/>
      </rPr>
      <t>補助比例 ≤</t>
    </r>
    <r>
      <rPr>
        <sz val="10"/>
        <rFont val="Microsoft JhengHei"/>
        <family val="2"/>
        <charset val="136"/>
      </rPr>
      <t>50%)</t>
    </r>
  </si>
  <si>
    <t>研發投資補助款</t>
  </si>
  <si>
    <t>法人創投；＋國內成立8年內之新創事業</t>
  </si>
  <si>
    <r>
      <rPr>
        <sz val="10"/>
        <rFont val="Microsoft JhengHei"/>
        <family val="2"/>
        <charset val="136"/>
      </rPr>
      <t>115/1/1-115/12/31</t>
    </r>
    <r>
      <rPr>
        <sz val="10"/>
        <rFont val="Noto Sans CJK SC"/>
        <family val="2"/>
      </rPr>
      <t>；企業執行期間</t>
    </r>
    <r>
      <rPr>
        <sz val="10"/>
        <rFont val="Microsoft JhengHei"/>
        <family val="2"/>
        <charset val="136"/>
      </rPr>
      <t>:</t>
    </r>
    <r>
      <rPr>
        <sz val="10"/>
        <rFont val="Noto Sans CJK SC"/>
        <family val="2"/>
      </rPr>
      <t>計畫申請時程：自公告日起算</t>
    </r>
    <r>
      <rPr>
        <sz val="10"/>
        <rFont val="Microsoft JhengHei"/>
        <family val="2"/>
        <charset val="136"/>
      </rPr>
      <t>1</t>
    </r>
    <r>
      <rPr>
        <sz val="10"/>
        <rFont val="Noto Sans CJK SC"/>
        <family val="2"/>
      </rPr>
      <t>個月後開始受理收件；計畫執行期程原則不超過</t>
    </r>
    <r>
      <rPr>
        <sz val="10"/>
        <rFont val="Microsoft JhengHei"/>
        <family val="2"/>
        <charset val="136"/>
      </rPr>
      <t>2</t>
    </r>
    <r>
      <rPr>
        <sz val="10"/>
        <rFont val="Noto Sans CJK SC"/>
        <family val="2"/>
      </rPr>
      <t>年</t>
    </r>
  </si>
  <si>
    <t>僅上傳清單(未獨立核對)</t>
  </si>
  <si>
    <r>
      <rPr>
        <sz val="10"/>
        <rFont val="Microsoft JhengHei"/>
        <family val="2"/>
        <charset val="136"/>
      </rPr>
      <t>2</t>
    </r>
    <r>
      <rPr>
        <sz val="10"/>
        <rFont val="Noto Sans CJK SC"/>
        <family val="2"/>
      </rPr>
      <t>年最高</t>
    </r>
    <r>
      <rPr>
        <sz val="10"/>
        <rFont val="Microsoft JhengHei"/>
        <family val="2"/>
        <charset val="136"/>
      </rPr>
      <t>3,000</t>
    </r>
    <r>
      <rPr>
        <sz val="10"/>
        <rFont val="Noto Sans CJK SC"/>
        <family val="2"/>
      </rPr>
      <t>萬</t>
    </r>
    <r>
      <rPr>
        <sz val="10"/>
        <rFont val="Microsoft JhengHei"/>
        <family val="2"/>
        <charset val="136"/>
      </rPr>
      <t>(</t>
    </r>
    <r>
      <rPr>
        <sz val="10"/>
        <rFont val="Noto Sans CJK SC"/>
        <family val="2"/>
      </rPr>
      <t>補助≤</t>
    </r>
    <r>
      <rPr>
        <sz val="10"/>
        <rFont val="Microsoft JhengHei"/>
        <family val="2"/>
        <charset val="136"/>
      </rPr>
      <t>40%);</t>
    </r>
    <r>
      <rPr>
        <sz val="10"/>
        <rFont val="Noto Sans CJK SC"/>
        <family val="2"/>
      </rPr>
      <t>新創成立</t>
    </r>
    <r>
      <rPr>
        <sz val="10"/>
        <rFont val="Microsoft JhengHei"/>
        <family val="2"/>
        <charset val="136"/>
      </rPr>
      <t>3</t>
    </r>
    <r>
      <rPr>
        <sz val="10"/>
        <rFont val="Noto Sans CJK SC"/>
        <family val="2"/>
      </rPr>
      <t>年內加碼</t>
    </r>
    <r>
      <rPr>
        <sz val="10"/>
        <rFont val="Microsoft JhengHei"/>
        <family val="2"/>
        <charset val="136"/>
      </rPr>
      <t>20%(≤50%)</t>
    </r>
    <r>
      <rPr>
        <sz val="10"/>
        <rFont val="Noto Sans CJK SC"/>
        <family val="2"/>
      </rPr>
      <t>。受理期間為</t>
    </r>
    <r>
      <rPr>
        <sz val="10"/>
        <rFont val="Microsoft JhengHei"/>
        <family val="2"/>
        <charset val="136"/>
      </rPr>
      <t>2026</t>
    </r>
    <r>
      <rPr>
        <sz val="10"/>
        <rFont val="Noto Sans CJK SC"/>
        <family val="2"/>
      </rPr>
      <t>全年</t>
    </r>
    <r>
      <rPr>
        <sz val="10"/>
        <rFont val="Microsoft JhengHei"/>
        <family val="2"/>
        <charset val="136"/>
      </rPr>
      <t>(</t>
    </r>
    <r>
      <rPr>
        <sz val="10"/>
        <rFont val="Noto Sans CJK SC"/>
        <family val="2"/>
      </rPr>
      <t>自公告日起算</t>
    </r>
    <r>
      <rPr>
        <sz val="10"/>
        <rFont val="Microsoft JhengHei"/>
        <family val="2"/>
        <charset val="136"/>
      </rPr>
      <t>1</t>
    </r>
    <r>
      <rPr>
        <sz val="10"/>
        <rFont val="Noto Sans CJK SC"/>
        <family val="2"/>
      </rPr>
      <t>個月後開始收件</t>
    </r>
    <r>
      <rPr>
        <sz val="10"/>
        <rFont val="Microsoft JhengHei"/>
        <family val="2"/>
        <charset val="136"/>
      </rPr>
      <t>)</t>
    </r>
  </si>
  <si>
    <t>https://service.moea.gov.tw/EE514/tw/aiip/147.html</t>
  </si>
  <si>
    <r>
      <rPr>
        <sz val="10"/>
        <rFont val="Microsoft JhengHei"/>
        <family val="2"/>
        <charset val="136"/>
      </rPr>
      <t>2026</t>
    </r>
    <r>
      <rPr>
        <sz val="10"/>
        <rFont val="Noto Sans CJK SC"/>
        <family val="2"/>
      </rPr>
      <t>年國際鏈結與商業概念驗證專案</t>
    </r>
  </si>
  <si>
    <t>為協助國內科技專案衍生新創公司及具國際發展潛力之臺灣科研新創鏈結國際創新創業資源，本專案整合工研院矽谷資源，槓桿Berkeley SkyDeck與Stanford University能量，遴選具潛力新創公司赴美進行3個月商業概念驗證與商務拓展，串接國際新創生態圈與展會資源，開拓全球市場機會。</t>
  </si>
  <si>
    <r>
      <rPr>
        <sz val="10"/>
        <rFont val="Microsoft JhengHei"/>
        <family val="2"/>
        <charset val="136"/>
      </rPr>
      <t>180</t>
    </r>
    <r>
      <rPr>
        <sz val="10"/>
        <rFont val="Noto Sans CJK SC"/>
        <family val="2"/>
      </rPr>
      <t>萬元（含稅）為上限；分二期撥付（簽約</t>
    </r>
    <r>
      <rPr>
        <sz val="10"/>
        <rFont val="Microsoft JhengHei"/>
        <family val="2"/>
        <charset val="136"/>
      </rPr>
      <t>65%</t>
    </r>
    <r>
      <rPr>
        <sz val="10"/>
        <rFont val="Noto Sans CJK SC"/>
        <family val="2"/>
      </rPr>
      <t>、驗收後</t>
    </r>
    <r>
      <rPr>
        <sz val="10"/>
        <rFont val="Microsoft JhengHei"/>
        <family val="2"/>
        <charset val="136"/>
      </rPr>
      <t>35%</t>
    </r>
    <r>
      <rPr>
        <sz val="10"/>
        <rFont val="Noto Sans CJK SC"/>
        <family val="2"/>
      </rPr>
      <t>）</t>
    </r>
  </si>
  <si>
    <t>國際商務拓展輔導及專案執行費補助（赴美3個月商業概念驗證與商務拓展）</t>
  </si>
  <si>
    <r>
      <rPr>
        <sz val="10"/>
        <rFont val="Microsoft JhengHei"/>
        <family val="2"/>
        <charset val="136"/>
      </rPr>
      <t>2018</t>
    </r>
    <r>
      <rPr>
        <sz val="10"/>
        <rFont val="Noto Sans CJK SC"/>
        <family val="2"/>
      </rPr>
      <t>年</t>
    </r>
    <r>
      <rPr>
        <sz val="10"/>
        <rFont val="Microsoft JhengHei"/>
        <family val="2"/>
        <charset val="136"/>
      </rPr>
      <t>1</t>
    </r>
    <r>
      <rPr>
        <sz val="10"/>
        <rFont val="Noto Sans CJK SC"/>
        <family val="2"/>
      </rPr>
      <t>月</t>
    </r>
    <r>
      <rPr>
        <sz val="10"/>
        <rFont val="Microsoft JhengHei"/>
        <family val="2"/>
        <charset val="136"/>
      </rPr>
      <t>1</t>
    </r>
    <r>
      <rPr>
        <sz val="10"/>
        <rFont val="Noto Sans CJK SC"/>
        <family val="2"/>
      </rPr>
      <t>日後依法登記成立之新創公司，屬</t>
    </r>
    <r>
      <rPr>
        <sz val="10"/>
        <rFont val="Microsoft JhengHei"/>
        <family val="2"/>
        <charset val="136"/>
      </rPr>
      <t>(1)</t>
    </r>
    <r>
      <rPr>
        <sz val="10"/>
        <rFont val="Noto Sans CJK SC"/>
        <family val="2"/>
      </rPr>
      <t>執行科技專案計畫衍生新創公司，或</t>
    </r>
    <r>
      <rPr>
        <sz val="10"/>
        <rFont val="Microsoft JhengHei"/>
        <family val="2"/>
        <charset val="136"/>
      </rPr>
      <t>(2)</t>
    </r>
    <r>
      <rPr>
        <sz val="10"/>
        <rFont val="Noto Sans CJK SC"/>
        <family val="2"/>
      </rPr>
      <t>臺灣科研新創公司（具潛力型或領導型技術）之一</t>
    </r>
  </si>
  <si>
    <r>
      <rPr>
        <sz val="10"/>
        <rFont val="Microsoft JhengHei"/>
        <family val="2"/>
        <charset val="136"/>
      </rPr>
      <t>115/01/30-115/02/25</t>
    </r>
    <r>
      <rPr>
        <sz val="10"/>
        <rFont val="Noto Sans CJK SC"/>
        <family val="2"/>
      </rPr>
      <t>；</t>
    </r>
    <r>
      <rPr>
        <sz val="10"/>
        <rFont val="Microsoft JhengHei"/>
        <family val="2"/>
        <charset val="136"/>
      </rPr>
      <t>12:00PM</t>
    </r>
    <r>
      <rPr>
        <sz val="10"/>
        <rFont val="Noto Sans CJK SC"/>
        <family val="2"/>
      </rPr>
      <t>止；企業執行期間</t>
    </r>
    <r>
      <rPr>
        <sz val="10"/>
        <rFont val="Microsoft JhengHei"/>
        <family val="2"/>
        <charset val="136"/>
      </rPr>
      <t>:</t>
    </r>
    <r>
      <rPr>
        <sz val="10"/>
        <rFont val="Noto Sans CJK SC"/>
        <family val="2"/>
      </rPr>
      <t>簽約後執行至</t>
    </r>
    <r>
      <rPr>
        <sz val="10"/>
        <rFont val="Microsoft JhengHei"/>
        <family val="2"/>
        <charset val="136"/>
      </rPr>
      <t>2026</t>
    </r>
    <r>
      <rPr>
        <sz val="10"/>
        <rFont val="Noto Sans CJK SC"/>
        <family val="2"/>
      </rPr>
      <t>年</t>
    </r>
    <r>
      <rPr>
        <sz val="10"/>
        <rFont val="Microsoft JhengHei"/>
        <family val="2"/>
        <charset val="136"/>
      </rPr>
      <t>9</t>
    </r>
    <r>
      <rPr>
        <sz val="10"/>
        <rFont val="Noto Sans CJK SC"/>
        <family val="2"/>
      </rPr>
      <t>月</t>
    </r>
    <r>
      <rPr>
        <sz val="10"/>
        <rFont val="Microsoft JhengHei"/>
        <family val="2"/>
        <charset val="136"/>
      </rPr>
      <t>30</t>
    </r>
    <r>
      <rPr>
        <sz val="10"/>
        <rFont val="Noto Sans CJK SC"/>
        <family val="2"/>
      </rPr>
      <t>日前完成履約項目並提交期末報告</t>
    </r>
  </si>
  <si>
    <t>受理至2026-02-25 12:00;180萬元含稅,分二期撥付</t>
  </si>
  <si>
    <t>https://tree.meetbao.net/2026/01/2026%e5%b9%b4%e5%9c%8b%e9%9a%9b%e9%8f%88%e7%b5%90%e8%88%87%e5%95%86%e6%a5%ad%e6%a6%82%e5%bf%b5%e9%a9%97%e8%ad%89%e5%b0%88%e6%a1%88landing-program%e5%be%b5/</t>
  </si>
  <si>
    <r>
      <rPr>
        <sz val="10"/>
        <rFont val="Microsoft JhengHei"/>
        <family val="2"/>
        <charset val="136"/>
      </rPr>
      <t>2026</t>
    </r>
    <r>
      <rPr>
        <sz val="10"/>
        <rFont val="Noto Sans CJK SC"/>
        <family val="2"/>
      </rPr>
      <t>年國際鏈結與商業概念驗證專案（</t>
    </r>
    <r>
      <rPr>
        <sz val="10"/>
        <rFont val="Microsoft JhengHei"/>
        <family val="2"/>
        <charset val="136"/>
      </rPr>
      <t>TREE Landing Program</t>
    </r>
    <r>
      <rPr>
        <sz val="10"/>
        <rFont val="Noto Sans CJK SC"/>
        <family val="2"/>
      </rPr>
      <t>）第二次擴大徵案</t>
    </r>
  </si>
  <si>
    <t>為擴大科專新創籌備團隊參與國際創新創業生態圈，整合工研院矽谷資源，槓桿Berkeley SkyDeck與Stanford University能量，遴選具國際發展潛力之法人新創團隊赴美進行3個月商業概念驗證與商務拓展，串接矽谷新創生態圈與國際展會資源，開拓全球市場機會。</t>
  </si>
  <si>
    <t>執行經濟部科技專案計畫之法人機構，預計兩年內（2028年3月前）完成國內公司設立之法人新創團隊</t>
  </si>
  <si>
    <r>
      <rPr>
        <sz val="10"/>
        <rFont val="Microsoft JhengHei"/>
        <family val="2"/>
        <charset val="136"/>
      </rPr>
      <t>115/03/10-115/03/20</t>
    </r>
    <r>
      <rPr>
        <sz val="10"/>
        <rFont val="Noto Sans CJK SC"/>
        <family val="2"/>
      </rPr>
      <t>；</t>
    </r>
    <r>
      <rPr>
        <sz val="10"/>
        <rFont val="Microsoft JhengHei"/>
        <family val="2"/>
        <charset val="136"/>
      </rPr>
      <t>12:00PM</t>
    </r>
    <r>
      <rPr>
        <sz val="10"/>
        <rFont val="Noto Sans CJK SC"/>
        <family val="2"/>
      </rPr>
      <t>止；企業執行期間</t>
    </r>
    <r>
      <rPr>
        <sz val="10"/>
        <rFont val="Microsoft JhengHei"/>
        <family val="2"/>
        <charset val="136"/>
      </rPr>
      <t>:</t>
    </r>
    <r>
      <rPr>
        <sz val="10"/>
        <rFont val="Noto Sans CJK SC"/>
        <family val="2"/>
      </rPr>
      <t>簽約後執行至</t>
    </r>
    <r>
      <rPr>
        <sz val="10"/>
        <rFont val="Microsoft JhengHei"/>
        <family val="2"/>
        <charset val="136"/>
      </rPr>
      <t>2026</t>
    </r>
    <r>
      <rPr>
        <sz val="10"/>
        <rFont val="Noto Sans CJK SC"/>
        <family val="2"/>
      </rPr>
      <t>年</t>
    </r>
    <r>
      <rPr>
        <sz val="10"/>
        <rFont val="Microsoft JhengHei"/>
        <family val="2"/>
        <charset val="136"/>
      </rPr>
      <t>9</t>
    </r>
    <r>
      <rPr>
        <sz val="10"/>
        <rFont val="Noto Sans CJK SC"/>
        <family val="2"/>
      </rPr>
      <t>月</t>
    </r>
    <r>
      <rPr>
        <sz val="10"/>
        <rFont val="Microsoft JhengHei"/>
        <family val="2"/>
        <charset val="136"/>
      </rPr>
      <t>30</t>
    </r>
    <r>
      <rPr>
        <sz val="10"/>
        <rFont val="Noto Sans CJK SC"/>
        <family val="2"/>
      </rPr>
      <t>日前完成履約項目並提交期末報告</t>
    </r>
  </si>
  <si>
    <t>受理至2026-03-20 12:00;對象為執行經濟部科專的法人新創團隊</t>
  </si>
  <si>
    <t>https://tree.meetbao.net/2026/03/2026landing-program-2/</t>
  </si>
  <si>
    <t>非對外公告(委辦/採購)</t>
  </si>
  <si>
    <t>國際貿易署</t>
  </si>
  <si>
    <t>中小企業數據貿易平台建置案(委辦/採購案)</t>
  </si>
  <si>
    <t>以建置數據貿易平台與相關服務為主，已註記為平台建置案；通常透過政府採購或委辦方式辦理，不是一般企業可申請的補助方案。</t>
  </si>
  <si>
    <t>依採購預算與契約</t>
  </si>
  <si>
    <t>不適用（委辦／採購）</t>
  </si>
  <si>
    <t>具相關能力之採購投標廠商</t>
  </si>
  <si>
    <t>依政府採購／委辦公告；企業執行期間:依採購契約期程</t>
  </si>
  <si>
    <t>非申請制</t>
  </si>
  <si>
    <t>上傳清單載明為平台建置委辦/採購案,非對外公告的政策資源</t>
  </si>
  <si>
    <t>https://www.aieztrade.com/</t>
  </si>
  <si>
    <t>運用數位新貿易模式計畫</t>
  </si>
  <si>
    <t>為提升我國出口業者之數位能力，推動運用數位新貿易模式計畫，提供完整「數位診斷 → 顧問諮詢 → 輔導方案 → 培訓課程」整合服務，透過AI × 數據導入，啟動中小企業拓銷動能，協助我出口業者應用數位科技工具拓展海外市場，以加速爭取國際商機。</t>
  </si>
  <si>
    <t>無</t>
  </si>
  <si>
    <t>數位診斷 / 顧問諮詢 / 輔導方案 / 培訓課程</t>
  </si>
  <si>
    <t>有跨境貿易或數位貿易需求之業者</t>
  </si>
  <si>
    <t>自公告日起至115年9月30日或經費用罄之日止，下午6時前完成線上申請；企業執行期間:顧問諮詢：申請至115年10月30日止；輔導方案：申請至115年9月30日止；課程：115年12月31日止</t>
  </si>
  <si>
    <t>未確認(分項期限不同)</t>
  </si>
  <si>
    <t>【名稱或簡述提到AI】各項期限不同:輔導方案申請至2026-09-30(已過)、顧問諮詢申請至2026-10-30(尚在期限內)、課程至2026-12-31;專案網站載明申請免費、輔導方案共8個,但未載期限,上傳清單金額欄為「無」</t>
  </si>
  <si>
    <t>https://newtrade.aieztrade.com/</t>
  </si>
  <si>
    <r>
      <rPr>
        <sz val="10"/>
        <rFont val="Microsoft JhengHei"/>
        <family val="2"/>
        <charset val="136"/>
      </rPr>
      <t>115</t>
    </r>
    <r>
      <rPr>
        <sz val="10"/>
        <rFont val="Noto Sans CJK SC"/>
        <family val="2"/>
      </rPr>
      <t>年度「商業服務業數據驅動價值創造計畫」輔導案</t>
    </r>
  </si>
  <si>
    <t>為促進服務業智慧轉型，協助業者導入AI應用、多模態AI（Multimodal AI）與AI代理（AI Agent）等前瞻技術，整合內外部數據與智慧流程自動化，將商業資料轉化為可行動洞察與即時決策能力，進而提升營運效率與決策品質，並以AI 驅動服務創新與商業模式升級、拓展國際市場</t>
  </si>
  <si>
    <r>
      <rPr>
        <sz val="10"/>
        <rFont val="Microsoft JhengHei"/>
        <family val="2"/>
        <charset val="136"/>
      </rPr>
      <t>1.</t>
    </r>
    <r>
      <rPr>
        <sz val="10"/>
        <rFont val="Noto Sans CJK SC"/>
        <family val="2"/>
      </rPr>
      <t>提案計畫總經費請列明輔導款與自籌款兩部分，輔導款不得超過全案總經費之</t>
    </r>
    <r>
      <rPr>
        <sz val="10"/>
        <rFont val="Microsoft JhengHei"/>
        <family val="2"/>
        <charset val="136"/>
      </rPr>
      <t>50%</t>
    </r>
    <r>
      <rPr>
        <sz val="10"/>
        <rFont val="Noto Sans CJK SC"/>
        <family val="2"/>
      </rPr>
      <t>；最高可申請之輔導款額度，以新臺幣</t>
    </r>
    <r>
      <rPr>
        <sz val="10"/>
        <rFont val="Microsoft JhengHei"/>
        <family val="2"/>
        <charset val="136"/>
      </rPr>
      <t>600</t>
    </r>
    <r>
      <rPr>
        <sz val="10"/>
        <rFont val="Noto Sans CJK SC"/>
        <family val="2"/>
      </rPr>
      <t>萬元為上限</t>
    </r>
    <r>
      <rPr>
        <sz val="10"/>
        <rFont val="Microsoft JhengHei"/>
        <family val="2"/>
        <charset val="136"/>
      </rPr>
      <t>(</t>
    </r>
    <r>
      <rPr>
        <sz val="10"/>
        <rFont val="Noto Sans CJK SC"/>
        <family val="2"/>
      </rPr>
      <t>實際輔導金額依審查結果核定之</t>
    </r>
    <r>
      <rPr>
        <sz val="10"/>
        <rFont val="Microsoft JhengHei"/>
        <family val="2"/>
        <charset val="136"/>
      </rPr>
      <t>)</t>
    </r>
    <r>
      <rPr>
        <sz val="10"/>
        <rFont val="Noto Sans CJK SC"/>
        <family val="2"/>
      </rPr>
      <t>；</t>
    </r>
    <r>
      <rPr>
        <sz val="10"/>
        <rFont val="Microsoft JhengHei"/>
        <family val="2"/>
        <charset val="136"/>
      </rPr>
      <t>2.</t>
    </r>
    <r>
      <rPr>
        <sz val="10"/>
        <rFont val="Noto Sans CJK SC"/>
        <family val="2"/>
      </rPr>
      <t>公司實收資本額不得低於自籌款，自籌款不得低於輔導款，亦即輔導款 ≦ 自籌款 ≦ 實收資本額。</t>
    </r>
  </si>
  <si>
    <t>輔導(有輔導款)</t>
  </si>
  <si>
    <t>依公司法登記之公司，且實際從事商業服務業（批發、零售、物流、餐飲、休憩服務、生活服務業）</t>
  </si>
  <si>
    <r>
      <rPr>
        <sz val="10"/>
        <rFont val="Microsoft JhengHei"/>
        <family val="2"/>
        <charset val="136"/>
      </rPr>
      <t>115/03/17-115/04-14</t>
    </r>
    <r>
      <rPr>
        <sz val="10"/>
        <rFont val="Noto Sans CJK SC"/>
        <family val="2"/>
      </rPr>
      <t>；企業執行期間</t>
    </r>
    <r>
      <rPr>
        <sz val="10"/>
        <rFont val="Microsoft JhengHei"/>
        <family val="2"/>
        <charset val="136"/>
      </rPr>
      <t>:</t>
    </r>
    <r>
      <rPr>
        <sz val="10"/>
        <rFont val="Noto Sans CJK SC"/>
        <family val="2"/>
      </rPr>
      <t>自遴選結果公告於「經濟部商業發展署」網站（</t>
    </r>
    <r>
      <rPr>
        <sz val="10"/>
        <rFont val="Microsoft JhengHei"/>
        <family val="2"/>
        <charset val="136"/>
      </rPr>
      <t>https://www.aoc.gov.tw/</t>
    </r>
    <r>
      <rPr>
        <sz val="10"/>
        <rFont val="Noto Sans CJK SC"/>
        <family val="2"/>
      </rPr>
      <t>）之日起至</t>
    </r>
    <r>
      <rPr>
        <sz val="10"/>
        <rFont val="Microsoft JhengHei"/>
        <family val="2"/>
        <charset val="136"/>
      </rPr>
      <t>115</t>
    </r>
    <r>
      <rPr>
        <sz val="10"/>
        <rFont val="Noto Sans CJK SC"/>
        <family val="2"/>
      </rPr>
      <t>年</t>
    </r>
    <r>
      <rPr>
        <sz val="10"/>
        <rFont val="Microsoft JhengHei"/>
        <family val="2"/>
        <charset val="136"/>
      </rPr>
      <t>11</t>
    </r>
    <r>
      <rPr>
        <sz val="10"/>
        <rFont val="Noto Sans CJK SC"/>
        <family val="2"/>
      </rPr>
      <t>月</t>
    </r>
    <r>
      <rPr>
        <sz val="10"/>
        <rFont val="Microsoft JhengHei"/>
        <family val="2"/>
        <charset val="136"/>
      </rPr>
      <t>20</t>
    </r>
    <r>
      <rPr>
        <sz val="10"/>
        <rFont val="Noto Sans CJK SC"/>
        <family val="2"/>
      </rPr>
      <t>日止。</t>
    </r>
  </si>
  <si>
    <t>【名稱或簡述提到AI】輔導款上限600萬,不超過全案總經費50%;輔導款≦自籌款≦實收資本額</t>
  </si>
  <si>
    <t>https://www.moea.gov.tw/Mns/populace/news/News.aspx?kind=2&amp;menu_id=41&amp;news_id=122129</t>
  </si>
  <si>
    <t>街區品牌特色發展計畫</t>
  </si>
  <si>
    <t>依據街區發展文化形塑街區品牌特色，打造商業群聚新意象，輔導街店導入智慧商業應用與全通路行銷，提升科技能量，聚焦街區特色並深化顧客體驗，帶動小型商業創新發展。</t>
  </si>
  <si>
    <t>不適用</t>
  </si>
  <si>
    <t>輔導(無輔導款)</t>
  </si>
  <si>
    <t>商業服務業</t>
  </si>
  <si>
    <t>上傳清單的受理期間、方式、金額均標示「不適用」</t>
  </si>
  <si>
    <r>
      <rPr>
        <sz val="10"/>
        <rFont val="Microsoft JhengHei"/>
        <family val="2"/>
        <charset val="136"/>
      </rPr>
      <t>115</t>
    </r>
    <r>
      <rPr>
        <sz val="10"/>
        <rFont val="Noto Sans CJK SC"/>
        <family val="2"/>
      </rPr>
      <t>年度「老店創生輔導」</t>
    </r>
  </si>
  <si>
    <t>為協助臺灣老店提升數位應用能力，透過數位工具協助營運、市場分析、行銷、產品開發及各項服務，以靈活因應新世代市場趨勢與消費需求，並透過數位科技串聯品牌獨有之歷史文化與場域氛圍，開發創新產品與服務，進一步強化老店競爭優勢，促進永續經營與穩健成長</t>
  </si>
  <si>
    <r>
      <rPr>
        <sz val="10"/>
        <rFont val="Microsoft JhengHei"/>
        <family val="2"/>
        <charset val="136"/>
      </rPr>
      <t>1.</t>
    </r>
    <r>
      <rPr>
        <sz val="10"/>
        <rFont val="Noto Sans CJK SC"/>
        <family val="2"/>
      </rPr>
      <t>一般輔導：含</t>
    </r>
    <r>
      <rPr>
        <sz val="10"/>
        <rFont val="Microsoft JhengHei"/>
        <family val="2"/>
        <charset val="136"/>
      </rPr>
      <t>1</t>
    </r>
    <r>
      <rPr>
        <sz val="10"/>
        <rFont val="Noto Sans CJK SC"/>
        <family val="2"/>
      </rPr>
      <t>次顧問申請計畫書診斷、</t>
    </r>
    <r>
      <rPr>
        <sz val="10"/>
        <rFont val="Microsoft JhengHei"/>
        <family val="2"/>
        <charset val="136"/>
      </rPr>
      <t>2</t>
    </r>
    <r>
      <rPr>
        <sz val="10"/>
        <rFont val="Noto Sans CJK SC"/>
        <family val="2"/>
      </rPr>
      <t>次輔導會議、專屬線上輔導</t>
    </r>
    <r>
      <rPr>
        <sz val="10"/>
        <rFont val="Microsoft JhengHei"/>
        <family val="2"/>
        <charset val="136"/>
      </rPr>
      <t>LINE</t>
    </r>
    <r>
      <rPr>
        <sz val="10"/>
        <rFont val="Noto Sans CJK SC"/>
        <family val="2"/>
      </rPr>
      <t>群組，輔導金額新台幣</t>
    </r>
    <r>
      <rPr>
        <sz val="10"/>
        <rFont val="Microsoft JhengHei"/>
        <family val="2"/>
        <charset val="136"/>
      </rPr>
      <t>8</t>
    </r>
    <r>
      <rPr>
        <sz val="10"/>
        <rFont val="Noto Sans CJK SC"/>
        <family val="2"/>
      </rPr>
      <t>萬元。；</t>
    </r>
    <r>
      <rPr>
        <sz val="10"/>
        <rFont val="Microsoft JhengHei"/>
        <family val="2"/>
        <charset val="136"/>
      </rPr>
      <t>2.</t>
    </r>
    <r>
      <rPr>
        <sz val="10"/>
        <rFont val="Noto Sans CJK SC"/>
        <family val="2"/>
      </rPr>
      <t>標竿輔導：含</t>
    </r>
    <r>
      <rPr>
        <sz val="10"/>
        <rFont val="Microsoft JhengHei"/>
        <family val="2"/>
        <charset val="136"/>
      </rPr>
      <t>1</t>
    </r>
    <r>
      <rPr>
        <sz val="10"/>
        <rFont val="Noto Sans CJK SC"/>
        <family val="2"/>
      </rPr>
      <t>次顧問申請計畫書診斷、</t>
    </r>
    <r>
      <rPr>
        <sz val="10"/>
        <rFont val="Microsoft JhengHei"/>
        <family val="2"/>
        <charset val="136"/>
      </rPr>
      <t>2</t>
    </r>
    <r>
      <rPr>
        <sz val="10"/>
        <rFont val="Noto Sans CJK SC"/>
        <family val="2"/>
      </rPr>
      <t>次輔導會議、專屬線上輔導</t>
    </r>
    <r>
      <rPr>
        <sz val="10"/>
        <rFont val="Microsoft JhengHei"/>
        <family val="2"/>
        <charset val="136"/>
      </rPr>
      <t>LINE</t>
    </r>
    <r>
      <rPr>
        <sz val="10"/>
        <rFont val="Noto Sans CJK SC"/>
        <family val="2"/>
      </rPr>
      <t>群組，輔導金額新台幣</t>
    </r>
    <r>
      <rPr>
        <sz val="10"/>
        <rFont val="Microsoft JhengHei"/>
        <family val="2"/>
        <charset val="136"/>
      </rPr>
      <t>40</t>
    </r>
    <r>
      <rPr>
        <sz val="10"/>
        <rFont val="Noto Sans CJK SC"/>
        <family val="2"/>
      </rPr>
      <t>萬元。</t>
    </r>
  </si>
  <si>
    <t>輔導 / (有輔導款) / (無輔導款)</t>
  </si>
  <si>
    <t>在我國經營60年（含）以上，並依我國公司法或商業登記法完成設立，有實體零售或服務門店業者。</t>
  </si>
  <si>
    <r>
      <rPr>
        <sz val="10"/>
        <rFont val="Microsoft JhengHei"/>
        <family val="2"/>
        <charset val="136"/>
      </rPr>
      <t>115/06/09-115/06/30</t>
    </r>
    <r>
      <rPr>
        <sz val="10"/>
        <rFont val="Noto Sans CJK SC"/>
        <family val="2"/>
      </rPr>
      <t>；企業執行期間</t>
    </r>
    <r>
      <rPr>
        <sz val="10"/>
        <rFont val="Microsoft JhengHei"/>
        <family val="2"/>
        <charset val="136"/>
      </rPr>
      <t>:</t>
    </r>
    <r>
      <rPr>
        <sz val="10"/>
        <rFont val="Noto Sans CJK SC"/>
        <family val="2"/>
      </rPr>
      <t>簽約日</t>
    </r>
    <r>
      <rPr>
        <sz val="10"/>
        <rFont val="Microsoft JhengHei"/>
        <family val="2"/>
        <charset val="136"/>
      </rPr>
      <t>115</t>
    </r>
    <r>
      <rPr>
        <sz val="10"/>
        <rFont val="Noto Sans CJK SC"/>
        <family val="2"/>
      </rPr>
      <t>年</t>
    </r>
    <r>
      <rPr>
        <sz val="10"/>
        <rFont val="Microsoft JhengHei"/>
        <family val="2"/>
        <charset val="136"/>
      </rPr>
      <t>8</t>
    </r>
    <r>
      <rPr>
        <sz val="10"/>
        <rFont val="Noto Sans CJK SC"/>
        <family val="2"/>
      </rPr>
      <t>月</t>
    </r>
    <r>
      <rPr>
        <sz val="10"/>
        <rFont val="Microsoft JhengHei"/>
        <family val="2"/>
        <charset val="136"/>
      </rPr>
      <t>21</t>
    </r>
    <r>
      <rPr>
        <sz val="10"/>
        <rFont val="Noto Sans CJK SC"/>
        <family val="2"/>
      </rPr>
      <t>日起至</t>
    </r>
    <r>
      <rPr>
        <sz val="10"/>
        <rFont val="Microsoft JhengHei"/>
        <family val="2"/>
        <charset val="136"/>
      </rPr>
      <t>115</t>
    </r>
    <r>
      <rPr>
        <sz val="10"/>
        <rFont val="Noto Sans CJK SC"/>
        <family val="2"/>
      </rPr>
      <t>年</t>
    </r>
    <r>
      <rPr>
        <sz val="10"/>
        <rFont val="Microsoft JhengHei"/>
        <family val="2"/>
        <charset val="136"/>
      </rPr>
      <t>10</t>
    </r>
    <r>
      <rPr>
        <sz val="10"/>
        <rFont val="Noto Sans CJK SC"/>
        <family val="2"/>
      </rPr>
      <t>月</t>
    </r>
    <r>
      <rPr>
        <sz val="10"/>
        <rFont val="Microsoft JhengHei"/>
        <family val="2"/>
        <charset val="136"/>
      </rPr>
      <t>31</t>
    </r>
    <r>
      <rPr>
        <sz val="10"/>
        <rFont val="Noto Sans CJK SC"/>
        <family val="2"/>
      </rPr>
      <t>日止。</t>
    </r>
  </si>
  <si>
    <t>一般輔導8萬、標竿輔導40萬(上限填標竿輔導);限經營60年以上老店</t>
  </si>
  <si>
    <t>https://www.aoc.gov.tw/showPublic/700</t>
  </si>
  <si>
    <r>
      <rPr>
        <sz val="10"/>
        <rFont val="Microsoft JhengHei"/>
        <family val="2"/>
        <charset val="136"/>
      </rPr>
      <t>115</t>
    </r>
    <r>
      <rPr>
        <sz val="10"/>
        <rFont val="Noto Sans CJK SC"/>
        <family val="2"/>
      </rPr>
      <t>年度「推動餐飲服務業優質成長暨國際推廣計畫」產品開發試銷輔導</t>
    </r>
  </si>
  <si>
    <t>協助餐飲業者開發適合商品化之產品，打造臺灣特色美食商品化及標準化之能力，將產品上架於國內或國外通路。</t>
  </si>
  <si>
    <t>一、國內市場：每案配合款上限為新臺幣40萬元。；二、海外市場：每案配合款上限為新臺幣60萬元。；三、產品開發試銷輔導之廠商配合款不可少於政府輔導款金額1/2。；四、本款項不得用於採購中國品牌之軟硬體產品或服務。</t>
  </si>
  <si>
    <t>一、 以餐點具備臺灣美食特色之餐飲業者為主，已有品牌且至少須有1家實體店面。；二、 體系輔導可聯合非餐飲之業者，至少6家以上來共同進行申請，但每案之餐飲業者比例須至少1/2以上。</t>
  </si>
  <si>
    <r>
      <rPr>
        <sz val="10"/>
        <rFont val="Microsoft JhengHei"/>
        <family val="2"/>
        <charset val="136"/>
      </rPr>
      <t>115/04/01-115/04/24</t>
    </r>
    <r>
      <rPr>
        <sz val="10"/>
        <rFont val="Noto Sans CJK SC"/>
        <family val="2"/>
      </rPr>
      <t>；企業執行期間</t>
    </r>
    <r>
      <rPr>
        <sz val="10"/>
        <rFont val="Microsoft JhengHei"/>
        <family val="2"/>
        <charset val="136"/>
      </rPr>
      <t>:</t>
    </r>
    <r>
      <rPr>
        <sz val="10"/>
        <rFont val="Noto Sans CJK SC"/>
        <family val="2"/>
      </rPr>
      <t>自評選通過簽約後至</t>
    </r>
    <r>
      <rPr>
        <sz val="10"/>
        <rFont val="Microsoft JhengHei"/>
        <family val="2"/>
        <charset val="136"/>
      </rPr>
      <t>115</t>
    </r>
    <r>
      <rPr>
        <sz val="10"/>
        <rFont val="Noto Sans CJK SC"/>
        <family val="2"/>
      </rPr>
      <t>年</t>
    </r>
    <r>
      <rPr>
        <sz val="10"/>
        <rFont val="Microsoft JhengHei"/>
        <family val="2"/>
        <charset val="136"/>
      </rPr>
      <t>11</t>
    </r>
    <r>
      <rPr>
        <sz val="10"/>
        <rFont val="Noto Sans CJK SC"/>
        <family val="2"/>
      </rPr>
      <t>月</t>
    </r>
    <r>
      <rPr>
        <sz val="10"/>
        <rFont val="Microsoft JhengHei"/>
        <family val="2"/>
        <charset val="136"/>
      </rPr>
      <t>15</t>
    </r>
    <r>
      <rPr>
        <sz val="10"/>
        <rFont val="Noto Sans CJK SC"/>
        <family val="2"/>
      </rPr>
      <t>日止。</t>
    </r>
  </si>
  <si>
    <t>上傳清單寫「配合款上限」國內40萬、海外60萬,未標示政府輔導款上限,故上限欄不填數值</t>
  </si>
  <si>
    <t>https://www.moea.gov.tw/MNS/populace/news/News.aspx?kind=2&amp;menu_id=41&amp;news_id=122246</t>
  </si>
  <si>
    <r>
      <rPr>
        <sz val="10"/>
        <rFont val="Microsoft JhengHei"/>
        <family val="2"/>
        <charset val="136"/>
      </rPr>
      <t>115</t>
    </r>
    <r>
      <rPr>
        <sz val="10"/>
        <rFont val="Noto Sans CJK SC"/>
        <family val="2"/>
      </rPr>
      <t>年度「推動餐飲服務業優質成長暨國際推廣計畫」通路拓展輔導</t>
    </r>
  </si>
  <si>
    <t>協助餐飲業者建立海外輸出策略及模式等，進行品牌授權、海外代理或海外展店，增進業者落地經營能量，提升臺灣餐飲國際市場競爭實力。通路拓展方式可採海外展店或第三方合作（含海外代理、品牌授權等）。</t>
  </si>
  <si>
    <t>一、每案配合款上限為新臺幣80萬元。；二、通路拓展輔導之廠商配合款不可少於政府輔導款金額1/2。；三、本款項不得用於採購中國品牌之軟硬體產品或服務。</t>
  </si>
  <si>
    <t>上傳清單寫「配合款上限」80萬,未標示政府輔導款上限,故上限欄不填數值</t>
  </si>
  <si>
    <r>
      <rPr>
        <sz val="10"/>
        <rFont val="Microsoft JhengHei"/>
        <family val="2"/>
        <charset val="136"/>
      </rPr>
      <t>115</t>
    </r>
    <r>
      <rPr>
        <sz val="10"/>
        <rFont val="Noto Sans CJK SC"/>
        <family val="2"/>
      </rPr>
      <t>年度「推動餐飲服務業優質成長暨國際推廣計畫」餐飲體系輔導</t>
    </r>
  </si>
  <si>
    <t>協助餐飲業者品牌價值共創，由單點輸出轉型為系統化或模組化之團體營銷模式。以整合供應鏈與數位工具應用，建構具備品牌一致性與市場彈性的輔導體系，開發可複製、可擴散的新型商業模式，強化臺灣餐飲市場競爭力與品牌影響力。</t>
  </si>
  <si>
    <t>一、每案配合款上限為新臺幣200萬元。；二、廠商配合款不可少於政府輔導款金額1/4。；三、本款項不得用於採購中國品牌之軟硬體產品或服務。</t>
  </si>
  <si>
    <r>
      <rPr>
        <sz val="10"/>
        <rFont val="Microsoft JhengHei"/>
        <family val="2"/>
        <charset val="136"/>
      </rPr>
      <t>115/04/01-115/05/13</t>
    </r>
    <r>
      <rPr>
        <sz val="10"/>
        <rFont val="Noto Sans CJK SC"/>
        <family val="2"/>
      </rPr>
      <t>；企業執行期間</t>
    </r>
    <r>
      <rPr>
        <sz val="10"/>
        <rFont val="Microsoft JhengHei"/>
        <family val="2"/>
        <charset val="136"/>
      </rPr>
      <t>:</t>
    </r>
    <r>
      <rPr>
        <sz val="10"/>
        <rFont val="Noto Sans CJK SC"/>
        <family val="2"/>
      </rPr>
      <t>自評選通過簽約後至</t>
    </r>
    <r>
      <rPr>
        <sz val="10"/>
        <rFont val="Microsoft JhengHei"/>
        <family val="2"/>
        <charset val="136"/>
      </rPr>
      <t>115</t>
    </r>
    <r>
      <rPr>
        <sz val="10"/>
        <rFont val="Noto Sans CJK SC"/>
        <family val="2"/>
      </rPr>
      <t>年</t>
    </r>
    <r>
      <rPr>
        <sz val="10"/>
        <rFont val="Microsoft JhengHei"/>
        <family val="2"/>
        <charset val="136"/>
      </rPr>
      <t>11</t>
    </r>
    <r>
      <rPr>
        <sz val="10"/>
        <rFont val="Noto Sans CJK SC"/>
        <family val="2"/>
      </rPr>
      <t>月</t>
    </r>
    <r>
      <rPr>
        <sz val="10"/>
        <rFont val="Microsoft JhengHei"/>
        <family val="2"/>
        <charset val="136"/>
      </rPr>
      <t>15</t>
    </r>
    <r>
      <rPr>
        <sz val="10"/>
        <rFont val="Noto Sans CJK SC"/>
        <family val="2"/>
      </rPr>
      <t>日止。</t>
    </r>
  </si>
  <si>
    <t>上傳清單寫「配合款上限」200萬,未標示政府輔導款上限,故上限欄不填數值</t>
  </si>
  <si>
    <r>
      <rPr>
        <sz val="10"/>
        <rFont val="Microsoft JhengHei"/>
        <family val="2"/>
        <charset val="136"/>
      </rPr>
      <t>115</t>
    </r>
    <r>
      <rPr>
        <sz val="10"/>
        <rFont val="Noto Sans CJK SC"/>
        <family val="2"/>
      </rPr>
      <t>年度「推動餐飲服務業優質成長暨國際推廣計畫」餐廳雙語服務提升輔導</t>
    </r>
  </si>
  <si>
    <t>協助餐飲店家完善中英雙語菜單、服務標示與接待流程，營造國際旅客友善用餐環境，透過示範場域建立與服務品質提升，提升餐飲服務品質。</t>
  </si>
  <si>
    <t>依照業者實際需求搭配執行，必選及輔選項目申請金額合計上限為新臺幣3萬元。</t>
  </si>
  <si>
    <t>一、鄰近國際展會、國際型場館周邊場域及捷運站點周邊為優先之餐飲門店。；二、至少開設1家實體店面，提供內用或外帶之餐飲業者。</t>
  </si>
  <si>
    <t>第一梯次：115/03/11-115/04/10；第二梯次：115/06/03-115/07/03；企業執行期間:核定日起至115年9月30日止</t>
  </si>
  <si>
    <t>分兩梯次:第一梯次至2026-04-10、第二梯次至2026-07-03;金額為申請金額合計上限3萬</t>
  </si>
  <si>
    <t>https://www.aoc.gov.tw/showPublic/604</t>
  </si>
  <si>
    <r>
      <rPr>
        <sz val="10"/>
        <rFont val="Microsoft JhengHei"/>
        <family val="2"/>
        <charset val="136"/>
      </rPr>
      <t>115</t>
    </r>
    <r>
      <rPr>
        <sz val="10"/>
        <rFont val="Noto Sans CJK SC"/>
        <family val="2"/>
      </rPr>
      <t>年度「糕餅業創新永續發展計畫」糕餅業深度輔導</t>
    </r>
    <r>
      <rPr>
        <sz val="10"/>
        <rFont val="Microsoft JhengHei"/>
        <family val="2"/>
        <charset val="136"/>
      </rPr>
      <t>(</t>
    </r>
    <r>
      <rPr>
        <sz val="10"/>
        <rFont val="Noto Sans CJK SC"/>
        <family val="2"/>
      </rPr>
      <t>單一企業申請</t>
    </r>
    <r>
      <rPr>
        <sz val="10"/>
        <rFont val="Microsoft JhengHei"/>
        <family val="2"/>
        <charset val="136"/>
      </rPr>
      <t>)</t>
    </r>
  </si>
  <si>
    <t>透過推動升級優化體驗、創新體系之深度輔導，引導更多糕餅業主動提升產品力、服務力及國內外市場競爭力，以協助臺灣糕餅企業厚實經營基礎、促進糕餅產業升級。</t>
  </si>
  <si>
    <t>每案政府輔導經費以15萬元（含稅）為上限，企業自籌款至少為政府輔導經費的30%（含稅）</t>
  </si>
  <si>
    <t>單一糕餅企業申請。</t>
  </si>
  <si>
    <r>
      <rPr>
        <sz val="10"/>
        <rFont val="Microsoft JhengHei"/>
        <family val="2"/>
        <charset val="136"/>
      </rPr>
      <t>115/03/02-115/04/27</t>
    </r>
    <r>
      <rPr>
        <sz val="10"/>
        <rFont val="Noto Sans CJK SC"/>
        <family val="2"/>
      </rPr>
      <t>；企業執行期間</t>
    </r>
    <r>
      <rPr>
        <sz val="10"/>
        <rFont val="Microsoft JhengHei"/>
        <family val="2"/>
        <charset val="136"/>
      </rPr>
      <t>:</t>
    </r>
    <r>
      <rPr>
        <sz val="10"/>
        <rFont val="Noto Sans CJK SC"/>
        <family val="2"/>
      </rPr>
      <t>自簽約日起至</t>
    </r>
    <r>
      <rPr>
        <sz val="10"/>
        <rFont val="Microsoft JhengHei"/>
        <family val="2"/>
        <charset val="136"/>
      </rPr>
      <t>115</t>
    </r>
    <r>
      <rPr>
        <sz val="10"/>
        <rFont val="Noto Sans CJK SC"/>
        <family val="2"/>
      </rPr>
      <t>年</t>
    </r>
    <r>
      <rPr>
        <sz val="10"/>
        <rFont val="Microsoft JhengHei"/>
        <family val="2"/>
        <charset val="136"/>
      </rPr>
      <t>11</t>
    </r>
    <r>
      <rPr>
        <sz val="10"/>
        <rFont val="Noto Sans CJK SC"/>
        <family val="2"/>
      </rPr>
      <t>月</t>
    </r>
    <r>
      <rPr>
        <sz val="10"/>
        <rFont val="Microsoft JhengHei"/>
        <family val="2"/>
        <charset val="136"/>
      </rPr>
      <t>30</t>
    </r>
    <r>
      <rPr>
        <sz val="10"/>
        <rFont val="Noto Sans CJK SC"/>
        <family val="2"/>
      </rPr>
      <t>日止。</t>
    </r>
  </si>
  <si>
    <t>名稱與下一列相同,依對象區分為單一企業申請;政府輔導經費上限15萬(含稅)</t>
  </si>
  <si>
    <t>https://www.aoc.gov.tw/showPublic/599</t>
  </si>
  <si>
    <r>
      <rPr>
        <sz val="10"/>
        <rFont val="Microsoft JhengHei"/>
        <family val="2"/>
        <charset val="136"/>
      </rPr>
      <t>115</t>
    </r>
    <r>
      <rPr>
        <sz val="10"/>
        <rFont val="Noto Sans CJK SC"/>
        <family val="2"/>
      </rPr>
      <t>年度「糕餅業創新永續發展計畫」糕餅業深度輔導</t>
    </r>
    <r>
      <rPr>
        <sz val="10"/>
        <rFont val="Microsoft JhengHei"/>
        <family val="2"/>
        <charset val="136"/>
      </rPr>
      <t>(</t>
    </r>
    <r>
      <rPr>
        <sz val="10"/>
        <rFont val="Noto Sans CJK SC"/>
        <family val="2"/>
      </rPr>
      <t>體系申請</t>
    </r>
    <r>
      <rPr>
        <sz val="10"/>
        <rFont val="Microsoft JhengHei"/>
        <family val="2"/>
        <charset val="136"/>
      </rPr>
      <t>)</t>
    </r>
  </si>
  <si>
    <t>每案政府輔導經費以100萬元（含稅）為上限，企業自籌款不得低於政府輔導經費（含稅）。</t>
  </si>
  <si>
    <t>每案由1家糕餅企業為主導企業（須為公司組織），結合3家（含）以上企業擔任體系合作單位。</t>
  </si>
  <si>
    <t>名稱與上一列相同,依對象區分為主導企業結合3家以上體系合作;政府輔導經費上限100萬(含稅)</t>
  </si>
  <si>
    <r>
      <rPr>
        <sz val="10"/>
        <rFont val="Microsoft JhengHei"/>
        <family val="2"/>
        <charset val="136"/>
      </rPr>
      <t>115</t>
    </r>
    <r>
      <rPr>
        <sz val="10"/>
        <rFont val="Noto Sans CJK SC"/>
        <family val="2"/>
      </rPr>
      <t>年度「生活服務業科技創新應用輔導」</t>
    </r>
  </si>
  <si>
    <t>協助生活服務業者運用科技工具發展創新應用服務，以提升經營效率、創造服務價值，強化生活服務業於市場中的長期競爭力。</t>
  </si>
  <si>
    <t>以200萬元（含稅）為上限</t>
  </si>
  <si>
    <r>
      <rPr>
        <sz val="10"/>
        <rFont val="Microsoft JhengHei"/>
        <family val="2"/>
        <charset val="136"/>
      </rPr>
      <t>(</t>
    </r>
    <r>
      <rPr>
        <sz val="10"/>
        <rFont val="Noto Sans CJK SC"/>
        <family val="2"/>
      </rPr>
      <t>一</t>
    </r>
    <r>
      <rPr>
        <sz val="10"/>
        <rFont val="Microsoft JhengHei"/>
        <family val="2"/>
        <charset val="136"/>
      </rPr>
      <t>)</t>
    </r>
    <r>
      <rPr>
        <sz val="10"/>
        <rFont val="Noto Sans CJK SC"/>
        <family val="2"/>
      </rPr>
      <t>依公司法或商業登記法設立之本國公司、商業。；</t>
    </r>
    <r>
      <rPr>
        <sz val="10"/>
        <rFont val="Microsoft JhengHei"/>
        <family val="2"/>
        <charset val="136"/>
      </rPr>
      <t>(</t>
    </r>
    <r>
      <rPr>
        <sz val="10"/>
        <rFont val="Noto Sans CJK SC"/>
        <family val="2"/>
      </rPr>
      <t>四</t>
    </r>
    <r>
      <rPr>
        <sz val="10"/>
        <rFont val="Microsoft JhengHei"/>
        <family val="2"/>
        <charset val="136"/>
      </rPr>
      <t xml:space="preserve">) </t>
    </r>
    <r>
      <rPr>
        <sz val="10"/>
        <rFont val="Noto Sans CJK SC"/>
        <family val="2"/>
      </rPr>
      <t>實際提供生活服務之業者。</t>
    </r>
  </si>
  <si>
    <r>
      <rPr>
        <sz val="10"/>
        <rFont val="Microsoft JhengHei"/>
        <family val="2"/>
        <charset val="136"/>
      </rPr>
      <t>115/03/18-115/04/07</t>
    </r>
    <r>
      <rPr>
        <sz val="10"/>
        <rFont val="Noto Sans CJK SC"/>
        <family val="2"/>
      </rPr>
      <t>；企業執行期間</t>
    </r>
    <r>
      <rPr>
        <sz val="10"/>
        <rFont val="Microsoft JhengHei"/>
        <family val="2"/>
        <charset val="136"/>
      </rPr>
      <t>:</t>
    </r>
    <r>
      <rPr>
        <sz val="10"/>
        <rFont val="Noto Sans CJK SC"/>
        <family val="2"/>
      </rPr>
      <t>自審查結果公告日起，至</t>
    </r>
    <r>
      <rPr>
        <sz val="10"/>
        <rFont val="Microsoft JhengHei"/>
        <family val="2"/>
        <charset val="136"/>
      </rPr>
      <t>115</t>
    </r>
    <r>
      <rPr>
        <sz val="10"/>
        <rFont val="Noto Sans CJK SC"/>
        <family val="2"/>
      </rPr>
      <t>年</t>
    </r>
    <r>
      <rPr>
        <sz val="10"/>
        <rFont val="Microsoft JhengHei"/>
        <family val="2"/>
        <charset val="136"/>
      </rPr>
      <t>11</t>
    </r>
    <r>
      <rPr>
        <sz val="10"/>
        <rFont val="Noto Sans CJK SC"/>
        <family val="2"/>
      </rPr>
      <t>月</t>
    </r>
    <r>
      <rPr>
        <sz val="10"/>
        <rFont val="Microsoft JhengHei"/>
        <family val="2"/>
        <charset val="136"/>
      </rPr>
      <t>20</t>
    </r>
    <r>
      <rPr>
        <sz val="10"/>
        <rFont val="Noto Sans CJK SC"/>
        <family val="2"/>
      </rPr>
      <t>日</t>
    </r>
    <r>
      <rPr>
        <sz val="10"/>
        <rFont val="Microsoft JhengHei"/>
        <family val="2"/>
        <charset val="136"/>
      </rPr>
      <t>(</t>
    </r>
    <r>
      <rPr>
        <sz val="10"/>
        <rFont val="Noto Sans CJK SC"/>
        <family val="2"/>
      </rPr>
      <t>五</t>
    </r>
    <r>
      <rPr>
        <sz val="10"/>
        <rFont val="Microsoft JhengHei"/>
        <family val="2"/>
        <charset val="136"/>
      </rPr>
      <t>)</t>
    </r>
    <r>
      <rPr>
        <sz val="10"/>
        <rFont val="Noto Sans CJK SC"/>
        <family val="2"/>
      </rPr>
      <t>止</t>
    </r>
  </si>
  <si>
    <t>輔導金額上限200萬(含稅)</t>
  </si>
  <si>
    <t>https://www.aoc.gov.tw/showPublic/608</t>
  </si>
  <si>
    <r>
      <rPr>
        <sz val="10"/>
        <rFont val="Microsoft JhengHei"/>
        <family val="2"/>
        <charset val="136"/>
      </rPr>
      <t>115</t>
    </r>
    <r>
      <rPr>
        <sz val="10"/>
        <rFont val="Noto Sans CJK SC"/>
        <family val="2"/>
      </rPr>
      <t>年度「智世代社區短鏈生活圈實證輔導」</t>
    </r>
  </si>
  <si>
    <t>為解決特定實體生活環境目標族群需求與服務取得痛點，生活圈營運者以既有核心服務為基礎，形成生活圈合作團隊，發展科技應用服務於實體場域，整合主題特色多元生活服務，藉以讓目標族群更適時、就近取得多元服務，並為周邊生活服務相關業者創造新商機。</t>
  </si>
  <si>
    <t>每案以300萬元(含稅)為上限。</t>
  </si>
  <si>
    <t>輔導(有輔導款) / 諮詢/訪視</t>
  </si>
  <si>
    <r>
      <rPr>
        <sz val="10"/>
        <rFont val="Microsoft JhengHei"/>
        <family val="2"/>
        <charset val="136"/>
      </rPr>
      <t>(</t>
    </r>
    <r>
      <rPr>
        <sz val="10"/>
        <rFont val="Noto Sans CJK SC"/>
        <family val="2"/>
      </rPr>
      <t>一</t>
    </r>
    <r>
      <rPr>
        <sz val="10"/>
        <rFont val="Microsoft JhengHei"/>
        <family val="2"/>
        <charset val="136"/>
      </rPr>
      <t>)</t>
    </r>
    <r>
      <rPr>
        <sz val="10"/>
        <rFont val="Noto Sans CJK SC"/>
        <family val="2"/>
      </rPr>
      <t>依公司法或商業登記法設立之本國公司、商業。；</t>
    </r>
    <r>
      <rPr>
        <sz val="10"/>
        <rFont val="Microsoft JhengHei"/>
        <family val="2"/>
        <charset val="136"/>
      </rPr>
      <t>(</t>
    </r>
    <r>
      <rPr>
        <sz val="10"/>
        <rFont val="Noto Sans CJK SC"/>
        <family val="2"/>
      </rPr>
      <t>二</t>
    </r>
    <r>
      <rPr>
        <sz val="10"/>
        <rFont val="Microsoft JhengHei"/>
        <family val="2"/>
        <charset val="136"/>
      </rPr>
      <t>)</t>
    </r>
    <r>
      <rPr>
        <sz val="10"/>
        <rFont val="Noto Sans CJK SC"/>
        <family val="2"/>
      </rPr>
      <t>具備生活圈商業經營基礎，包含生活圈實證場域營運基礎、於實證場域具備穩定客源，並提出相關佐證資料如下：；</t>
    </r>
    <r>
      <rPr>
        <sz val="10"/>
        <rFont val="Microsoft JhengHei"/>
        <family val="2"/>
        <charset val="136"/>
      </rPr>
      <t>1.</t>
    </r>
    <r>
      <rPr>
        <sz val="10"/>
        <rFont val="Noto Sans CJK SC"/>
        <family val="2"/>
      </rPr>
      <t>已於生活圈實證場域範疇營運至少一年，並提供該場域所在之三級行政區域（鄉、鎮、縣轄市、區）經營具體證明，如營業登記地址、店面租賃合約、場域合作協議、於實證場域提供服務之佐證等。；</t>
    </r>
    <r>
      <rPr>
        <sz val="10"/>
        <rFont val="Microsoft JhengHei"/>
        <family val="2"/>
        <charset val="136"/>
      </rPr>
      <t>2.</t>
    </r>
    <r>
      <rPr>
        <sz val="10"/>
        <rFont val="Noto Sans CJK SC"/>
        <family val="2"/>
      </rPr>
      <t>已針對生活圈實證場域特定客群提供服務，並能提供具備穩定客源之佐證，如目標客群服務紀錄、目標客群分析等。；</t>
    </r>
    <r>
      <rPr>
        <sz val="10"/>
        <rFont val="Microsoft JhengHei"/>
        <family val="2"/>
        <charset val="136"/>
      </rPr>
      <t>(</t>
    </r>
    <r>
      <rPr>
        <sz val="10"/>
        <rFont val="Noto Sans CJK SC"/>
        <family val="2"/>
      </rPr>
      <t>三</t>
    </r>
    <r>
      <rPr>
        <sz val="10"/>
        <rFont val="Microsoft JhengHei"/>
        <family val="2"/>
        <charset val="136"/>
      </rPr>
      <t>)</t>
    </r>
    <r>
      <rPr>
        <sz val="10"/>
        <rFont val="Noto Sans CJK SC"/>
        <family val="2"/>
      </rPr>
      <t>非屬外國營利事業在臺設立之分公司、有限合夥分支機構及陸資企業。；</t>
    </r>
    <r>
      <rPr>
        <sz val="10"/>
        <rFont val="Microsoft JhengHei"/>
        <family val="2"/>
        <charset val="136"/>
      </rPr>
      <t>(</t>
    </r>
    <r>
      <rPr>
        <sz val="10"/>
        <rFont val="Noto Sans CJK SC"/>
        <family val="2"/>
      </rPr>
      <t>四</t>
    </r>
    <r>
      <rPr>
        <sz val="10"/>
        <rFont val="Microsoft JhengHei"/>
        <family val="2"/>
        <charset val="136"/>
      </rPr>
      <t>)</t>
    </r>
    <r>
      <rPr>
        <sz val="10"/>
        <rFont val="Noto Sans CJK SC"/>
        <family val="2"/>
      </rPr>
      <t>非屬銀行拒絕往來戶。</t>
    </r>
  </si>
  <si>
    <r>
      <rPr>
        <sz val="10"/>
        <rFont val="Microsoft JhengHei"/>
        <family val="2"/>
        <charset val="136"/>
      </rPr>
      <t>115/03/18-115/04/07</t>
    </r>
    <r>
      <rPr>
        <sz val="10"/>
        <rFont val="Noto Sans CJK SC"/>
        <family val="2"/>
      </rPr>
      <t>；企業執行期間</t>
    </r>
    <r>
      <rPr>
        <sz val="10"/>
        <rFont val="Microsoft JhengHei"/>
        <family val="2"/>
        <charset val="136"/>
      </rPr>
      <t>:</t>
    </r>
    <r>
      <rPr>
        <sz val="10"/>
        <rFont val="Noto Sans CJK SC"/>
        <family val="2"/>
      </rPr>
      <t>自審查結果公告日起，至</t>
    </r>
    <r>
      <rPr>
        <sz val="10"/>
        <rFont val="Microsoft JhengHei"/>
        <family val="2"/>
        <charset val="136"/>
      </rPr>
      <t>115</t>
    </r>
    <r>
      <rPr>
        <sz val="10"/>
        <rFont val="Noto Sans CJK SC"/>
        <family val="2"/>
      </rPr>
      <t xml:space="preserve">年 </t>
    </r>
    <r>
      <rPr>
        <sz val="10"/>
        <rFont val="Microsoft JhengHei"/>
        <family val="2"/>
        <charset val="136"/>
      </rPr>
      <t>11</t>
    </r>
    <r>
      <rPr>
        <sz val="10"/>
        <rFont val="Noto Sans CJK SC"/>
        <family val="2"/>
      </rPr>
      <t xml:space="preserve">月 </t>
    </r>
    <r>
      <rPr>
        <sz val="10"/>
        <rFont val="Microsoft JhengHei"/>
        <family val="2"/>
        <charset val="136"/>
      </rPr>
      <t>20</t>
    </r>
    <r>
      <rPr>
        <sz val="10"/>
        <rFont val="Noto Sans CJK SC"/>
        <family val="2"/>
      </rPr>
      <t>日</t>
    </r>
    <r>
      <rPr>
        <sz val="10"/>
        <rFont val="Microsoft JhengHei"/>
        <family val="2"/>
        <charset val="136"/>
      </rPr>
      <t>(</t>
    </r>
    <r>
      <rPr>
        <sz val="10"/>
        <rFont val="Noto Sans CJK SC"/>
        <family val="2"/>
      </rPr>
      <t>五</t>
    </r>
    <r>
      <rPr>
        <sz val="10"/>
        <rFont val="Microsoft JhengHei"/>
        <family val="2"/>
        <charset val="136"/>
      </rPr>
      <t>)</t>
    </r>
    <r>
      <rPr>
        <sz val="10"/>
        <rFont val="Noto Sans CJK SC"/>
        <family val="2"/>
      </rPr>
      <t>止。</t>
    </r>
  </si>
  <si>
    <t>每案上限300萬(含稅)</t>
  </si>
  <si>
    <t>https://www.aoc.gov.tw/showPublic/609</t>
  </si>
  <si>
    <t>營造商業服務業優質發展環境計畫(政策研究委辦案)</t>
  </si>
  <si>
    <t>本案屬商業服務業政策研究、環境營造與智庫支援工作，附件亦註記為智庫案；採委辦或採購執行，不是一般企業對外申請的補助。</t>
  </si>
  <si>
    <t>具研究、顧問或執行能力之投標單位</t>
  </si>
  <si>
    <t>上傳清單載明為政策研究/智庫委辦案,非對外公開申請</t>
  </si>
  <si>
    <t>https://www.aoc.gov.tw/</t>
  </si>
  <si>
    <r>
      <rPr>
        <sz val="10"/>
        <rFont val="Microsoft JhengHei"/>
        <family val="2"/>
        <charset val="136"/>
      </rPr>
      <t>115</t>
    </r>
    <r>
      <rPr>
        <sz val="10"/>
        <rFont val="Noto Sans CJK SC"/>
        <family val="2"/>
      </rPr>
      <t>年度「推動商業服務業品牌價值創新成長計畫」輔導</t>
    </r>
  </si>
  <si>
    <t>為鼓勵臺灣商業服務業朝國際品牌邁進，協助商業服務業擴大品牌經營規模、提升品牌價值，加強國際競爭力</t>
  </si>
  <si>
    <t>一、品牌價值管理輔導：每案上限為35萬元(含稅)；二、海外市場布局輔導：每案上限為40萬元(含稅)；三、品牌海外落地輔導：每案上限為70萬元(含稅)</t>
  </si>
  <si>
    <t>一、；申請企業須為經營商業服務業之本國公司、商業或有限合夥登記之企業。本須知所指商業服務業係依據財政部稅籍登記行業代號認定，包含「G批發及零售業」、「H運輸及倉儲業」、「I住宿及餐飲業」、「J出版、影音製作、傳播及資通訊服務業」、「M專業、科學及技術服務業」、「N支援服務業」、「P教育業」、「R藝術、娛樂及休閒服務業」或「S其他服務業」。</t>
  </si>
  <si>
    <r>
      <rPr>
        <sz val="10"/>
        <rFont val="Microsoft JhengHei"/>
        <family val="2"/>
        <charset val="136"/>
      </rPr>
      <t>115/05/21-115/06/15</t>
    </r>
    <r>
      <rPr>
        <sz val="10"/>
        <rFont val="Noto Sans CJK SC"/>
        <family val="2"/>
      </rPr>
      <t>；企業執行期間</t>
    </r>
    <r>
      <rPr>
        <sz val="10"/>
        <rFont val="Microsoft JhengHei"/>
        <family val="2"/>
        <charset val="136"/>
      </rPr>
      <t>:</t>
    </r>
    <r>
      <rPr>
        <sz val="10"/>
        <rFont val="Noto Sans CJK SC"/>
        <family val="2"/>
      </rPr>
      <t>自評選結果通知日起，至</t>
    </r>
    <r>
      <rPr>
        <sz val="10"/>
        <rFont val="Microsoft JhengHei"/>
        <family val="2"/>
        <charset val="136"/>
      </rPr>
      <t>115</t>
    </r>
    <r>
      <rPr>
        <sz val="10"/>
        <rFont val="Noto Sans CJK SC"/>
        <family val="2"/>
      </rPr>
      <t>年</t>
    </r>
    <r>
      <rPr>
        <sz val="10"/>
        <rFont val="Microsoft JhengHei"/>
        <family val="2"/>
        <charset val="136"/>
      </rPr>
      <t>10</t>
    </r>
    <r>
      <rPr>
        <sz val="10"/>
        <rFont val="Noto Sans CJK SC"/>
        <family val="2"/>
      </rPr>
      <t>月</t>
    </r>
    <r>
      <rPr>
        <sz val="10"/>
        <rFont val="Microsoft JhengHei"/>
        <family val="2"/>
        <charset val="136"/>
      </rPr>
      <t>31</t>
    </r>
    <r>
      <rPr>
        <sz val="10"/>
        <rFont val="Noto Sans CJK SC"/>
        <family val="2"/>
      </rPr>
      <t>日</t>
    </r>
    <r>
      <rPr>
        <sz val="10"/>
        <rFont val="Microsoft JhengHei"/>
        <family val="2"/>
        <charset val="136"/>
      </rPr>
      <t>(</t>
    </r>
    <r>
      <rPr>
        <sz val="10"/>
        <rFont val="Noto Sans CJK SC"/>
        <family val="2"/>
      </rPr>
      <t>六</t>
    </r>
    <r>
      <rPr>
        <sz val="10"/>
        <rFont val="Microsoft JhengHei"/>
        <family val="2"/>
        <charset val="136"/>
      </rPr>
      <t>)</t>
    </r>
    <r>
      <rPr>
        <sz val="10"/>
        <rFont val="Noto Sans CJK SC"/>
        <family val="2"/>
      </rPr>
      <t>止。</t>
    </r>
  </si>
  <si>
    <t>三類輔導上限:品牌價值管理35萬、海外市場布局40萬、品牌海外落地70萬(上限填最高者)</t>
  </si>
  <si>
    <t>https://www.aoc.gov.tw/showPublic/677</t>
  </si>
  <si>
    <r>
      <rPr>
        <sz val="10"/>
        <rFont val="Microsoft JhengHei"/>
        <family val="2"/>
        <charset val="136"/>
      </rPr>
      <t>115</t>
    </r>
    <r>
      <rPr>
        <sz val="10"/>
        <rFont val="Noto Sans CJK SC"/>
        <family val="2"/>
      </rPr>
      <t>年度服務業創新研發計畫</t>
    </r>
    <r>
      <rPr>
        <sz val="10"/>
        <rFont val="Microsoft JhengHei"/>
        <family val="2"/>
        <charset val="136"/>
      </rPr>
      <t>(SIIR)</t>
    </r>
    <r>
      <rPr>
        <sz val="10"/>
        <rFont val="Noto Sans CJK SC"/>
        <family val="2"/>
      </rPr>
      <t>申請須知</t>
    </r>
  </si>
  <si>
    <t>鼓勵商業服務業提出創新價值、商業模式清晰且具市場可行性的服務研發計畫。以「智慧化」與「低碳化」為核心，強調智慧科技、跨域整合與永續營運，協助企業推動服務升級與模式創新，加速產業智慧轉型與淨零永續國際競爭力。</t>
  </si>
  <si>
    <t>個別創新類：1. 每案補助上限為新臺幣；(以下同 )150萬元。；2. 創新應用領域為「運動 服；務 」 (註2)者， 每案補助上限；為 200萬元 。；合作創新類：1. 每案補助上限為 500萬；元 。；2. 創新應用領域為「運動 服；務 」者， 每案補助上限為；700萬元 。；國際化進階創新類：每案補助上限；1. 個別創新為 500萬元 ；創；新應用領域為「運動 服；務 」者， 每案補助上限為；600萬元 。；2. 合作創新 為 1,000萬元；創新應用領域為「運動；服務 」者， 每案補助上限；為 1,200萬元 。</t>
  </si>
  <si>
    <t>補捐助(補助款)</t>
  </si>
  <si>
    <r>
      <rPr>
        <sz val="10"/>
        <rFont val="Microsoft JhengHei"/>
        <family val="2"/>
        <charset val="136"/>
      </rPr>
      <t>(</t>
    </r>
    <r>
      <rPr>
        <sz val="10"/>
        <rFont val="Noto Sans CJK SC"/>
        <family val="2"/>
      </rPr>
      <t>一</t>
    </r>
    <r>
      <rPr>
        <sz val="10"/>
        <rFont val="Microsoft JhengHei"/>
        <family val="2"/>
        <charset val="136"/>
      </rPr>
      <t xml:space="preserve">) </t>
    </r>
    <r>
      <rPr>
        <sz val="10"/>
        <rFont val="Noto Sans CJK SC"/>
        <family val="2"/>
      </rPr>
      <t>依公司法、有限合夥法或商業登記法設立之本國公司、有限合夥或商業；</t>
    </r>
    <r>
      <rPr>
        <sz val="10"/>
        <rFont val="Microsoft JhengHei"/>
        <family val="2"/>
        <charset val="136"/>
      </rPr>
      <t>(</t>
    </r>
    <r>
      <rPr>
        <sz val="10"/>
        <rFont val="Noto Sans CJK SC"/>
        <family val="2"/>
      </rPr>
      <t xml:space="preserve">以下簡稱企業 </t>
    </r>
    <r>
      <rPr>
        <sz val="10"/>
        <rFont val="Microsoft JhengHei"/>
        <family val="2"/>
        <charset val="136"/>
      </rPr>
      <t>)</t>
    </r>
    <r>
      <rPr>
        <sz val="10"/>
        <rFont val="Noto Sans CJK SC"/>
        <family val="2"/>
      </rPr>
      <t>。</t>
    </r>
  </si>
  <si>
    <r>
      <rPr>
        <sz val="10"/>
        <rFont val="Microsoft JhengHei"/>
        <family val="2"/>
        <charset val="136"/>
      </rPr>
      <t>114/12/17-115/01/30</t>
    </r>
    <r>
      <rPr>
        <sz val="10"/>
        <rFont val="Noto Sans CJK SC"/>
        <family val="2"/>
      </rPr>
      <t>；企業執行期間</t>
    </r>
    <r>
      <rPr>
        <sz val="10"/>
        <rFont val="Microsoft JhengHei"/>
        <family val="2"/>
        <charset val="136"/>
      </rPr>
      <t>:115</t>
    </r>
    <r>
      <rPr>
        <sz val="10"/>
        <rFont val="Noto Sans CJK SC"/>
        <family val="2"/>
      </rPr>
      <t>年</t>
    </r>
    <r>
      <rPr>
        <sz val="10"/>
        <rFont val="Microsoft JhengHei"/>
        <family val="2"/>
        <charset val="136"/>
      </rPr>
      <t>2</t>
    </r>
    <r>
      <rPr>
        <sz val="10"/>
        <rFont val="Noto Sans CJK SC"/>
        <family val="2"/>
      </rPr>
      <t>月</t>
    </r>
    <r>
      <rPr>
        <sz val="10"/>
        <rFont val="Microsoft JhengHei"/>
        <family val="2"/>
        <charset val="136"/>
      </rPr>
      <t>1</t>
    </r>
    <r>
      <rPr>
        <sz val="10"/>
        <rFont val="Noto Sans CJK SC"/>
        <family val="2"/>
      </rPr>
      <t>日起至</t>
    </r>
    <r>
      <rPr>
        <sz val="10"/>
        <rFont val="Microsoft JhengHei"/>
        <family val="2"/>
        <charset val="136"/>
      </rPr>
      <t>115</t>
    </r>
    <r>
      <rPr>
        <sz val="10"/>
        <rFont val="Noto Sans CJK SC"/>
        <family val="2"/>
      </rPr>
      <t>年</t>
    </r>
    <r>
      <rPr>
        <sz val="10"/>
        <rFont val="Microsoft JhengHei"/>
        <family val="2"/>
        <charset val="136"/>
      </rPr>
      <t>11</t>
    </r>
    <r>
      <rPr>
        <sz val="10"/>
        <rFont val="Noto Sans CJK SC"/>
        <family val="2"/>
      </rPr>
      <t>月</t>
    </r>
    <r>
      <rPr>
        <sz val="10"/>
        <rFont val="Microsoft JhengHei"/>
        <family val="2"/>
        <charset val="136"/>
      </rPr>
      <t>30</t>
    </r>
    <r>
      <rPr>
        <sz val="10"/>
        <rFont val="Noto Sans CJK SC"/>
        <family val="2"/>
      </rPr>
      <t>日止</t>
    </r>
  </si>
  <si>
    <t>依類別而異:個別創新150萬(運動服務200萬)、合作創新500萬(700萬)、國際化進階個別500萬(600萬)、合作1,000萬(1,200萬);上限填最高者</t>
  </si>
  <si>
    <t>https://www.aoc.gov.tw/showPublic/544</t>
  </si>
  <si>
    <r>
      <rPr>
        <sz val="10"/>
        <rFont val="Microsoft JhengHei"/>
        <family val="2"/>
        <charset val="136"/>
      </rPr>
      <t>115</t>
    </r>
    <r>
      <rPr>
        <sz val="10"/>
        <rFont val="Noto Sans CJK SC"/>
        <family val="2"/>
      </rPr>
      <t>年度服務業</t>
    </r>
    <r>
      <rPr>
        <sz val="10"/>
        <rFont val="Microsoft JhengHei"/>
        <family val="2"/>
        <charset val="136"/>
      </rPr>
      <t>AI</t>
    </r>
    <r>
      <rPr>
        <sz val="10"/>
        <rFont val="Noto Sans CJK SC"/>
        <family val="2"/>
      </rPr>
      <t>人才培育計畫</t>
    </r>
  </si>
  <si>
    <t>「服務業AI人才培育計畫」配合國家AI政策及經濟部AI人才培育目標，以產業需求為導向，建構分級分類之AI人才培育體系，針對企業主管、在職從業人員及有志投入服務業者，提供AI基礎知能、實務應用、營運決策及企業導入等多元課程，系統性提升服務業AI應用能力，協助企業運用AI優化營運與服務流程，厚植服務業數位轉型及長期競爭力。</t>
  </si>
  <si>
    <t>訓練/講習/課程</t>
  </si>
  <si>
    <t>商業服務業廠商或有志從事商業服務業人員</t>
  </si>
  <si>
    <t>115/2/3-115/11/30</t>
  </si>
  <si>
    <t>【名稱或簡述提到AI】報名期間2026-02-03至2026-11-30;課程為AI基礎知能、實務應用、營運決策與企業導入;金額欄標示不適用</t>
  </si>
  <si>
    <t>協助傳統產業技術開發計畫(CITD)</t>
  </si>
  <si>
    <t>運用政府研發補助資源，鼓勵業者導入新技術，以自行或聯合開發等模式，進行新產品開發，以提升產業研發創新能量，提高產品附加價值。運用計畫輔導、診斷與學習資源，協助業者導入以使用者需求為導向之創新方法，以提高創新產品的市場可行性與研發成功率。</t>
  </si>
  <si>
    <t>產品開發最高200萬；研發聯盟每案新臺幣1,000萬元：；1.主導業者：新臺幣500；萬元；2.其餘成員：每家新臺幣；200萬元(註3)</t>
  </si>
  <si>
    <t>補捐助（補助款）</t>
  </si>
  <si>
    <t>商業服務業 / 技術服務產業；製造業及商業服務業 / 適用製造業及商業服務業；適用產業其他 / 製造業</t>
  </si>
  <si>
    <t>以經濟部產業發展署或本計畫網站公告為準；即日起至115年2月9日(一)下午17時30分59秒止；企業執行期間:公告受理截止日之次日起至115年11月30日止</t>
  </si>
  <si>
    <t>產品開發最高200萬;研發聯盟每案1,000萬(主導業者500萬、其餘成員每家200萬);上限填聯盟額度</t>
  </si>
  <si>
    <t>https://keid.nat.gov.tw/citdweb/Web/index.aspx</t>
  </si>
  <si>
    <t>推動中小型製造業AI驅動供應鏈智慧製造賦能計畫（智慧機械主題式研發補助）</t>
  </si>
  <si>
    <t>數位營運管理服務計畫</t>
  </si>
  <si>
    <t>協助企業導入「數位營運管理系統」，推動生產場域無紙化，減少人工作業與資訊落差，同時打造營運數位化，強化從業人員數位化技能，提升交期準確度與整體營運韌性，加速企業轉型再升級。</t>
  </si>
  <si>
    <t>每案政府經費上限60萬元/每案廠商自籌款10%。</t>
  </si>
  <si>
    <t>金屬機電業 / 金屬產業</t>
  </si>
  <si>
    <r>
      <rPr>
        <sz val="10"/>
        <rFont val="Microsoft JhengHei"/>
        <family val="2"/>
        <charset val="136"/>
      </rPr>
      <t>114/10/15-114/12/23</t>
    </r>
    <r>
      <rPr>
        <sz val="10"/>
        <rFont val="Noto Sans CJK SC"/>
        <family val="2"/>
      </rPr>
      <t>；企業執行期間</t>
    </r>
    <r>
      <rPr>
        <sz val="10"/>
        <rFont val="Microsoft JhengHei"/>
        <family val="2"/>
        <charset val="136"/>
      </rPr>
      <t>:115/3/1-115/9/15</t>
    </r>
  </si>
  <si>
    <t>每案政府經費上限60萬,廠商自籌10%;限金屬機電業;輔導期2026-03-01至2026-09-15</t>
  </si>
  <si>
    <t>https://assist.nat.gov.tw/wSite/ct?xItem=289617&amp;ctNode=150&amp;mp=2</t>
  </si>
  <si>
    <t>精實管理蹲點服務計畫</t>
  </si>
  <si>
    <t>為協助產業接軌數位轉型趨勢，規劃全方位轉型資源包含（精實管理、數位營運管理），透過政府點線面資源串接與一站式服務，促進數位新動能導入，強化產業競爭力，邁向數位製造發展</t>
  </si>
  <si>
    <t>每案政府經費上限40萬元/無自籌款。</t>
  </si>
  <si>
    <t>每案政府經費上限40萬,無自籌款;限金屬機電業;輔導期2026-03-01至2026-09-15</t>
  </si>
  <si>
    <t>民生產業轉型加值計畫</t>
  </si>
  <si>
    <t>本計畫以「創新加值」為主軸，藉由精實管理與數位導入，協助袋包、毛巾、烘焙食品等民生相關產業達到快速開發、彈性生產之目標。</t>
  </si>
  <si>
    <t>每案廠商自籌款占個案計畫總經費20%以上。</t>
  </si>
  <si>
    <t>民生化工業 / 紡織產業, 食品產業；中小企業 / 限中小企業</t>
  </si>
  <si>
    <r>
      <rPr>
        <sz val="10"/>
        <rFont val="Microsoft JhengHei"/>
        <family val="2"/>
        <charset val="136"/>
      </rPr>
      <t>115/1/1-115/6/30</t>
    </r>
    <r>
      <rPr>
        <sz val="10"/>
        <rFont val="Noto Sans CJK SC"/>
        <family val="2"/>
      </rPr>
      <t>；企業執行期間</t>
    </r>
    <r>
      <rPr>
        <sz val="10"/>
        <rFont val="Microsoft JhengHei"/>
        <family val="2"/>
        <charset val="136"/>
      </rPr>
      <t>:</t>
    </r>
    <r>
      <rPr>
        <sz val="10"/>
        <rFont val="Noto Sans CJK SC"/>
        <family val="2"/>
      </rPr>
      <t>至簽約起至</t>
    </r>
    <r>
      <rPr>
        <sz val="10"/>
        <rFont val="Microsoft JhengHei"/>
        <family val="2"/>
        <charset val="136"/>
      </rPr>
      <t>115/11/30</t>
    </r>
  </si>
  <si>
    <t>廠商自籌款須占總經費20%以上;限民生化工業中小企業</t>
  </si>
  <si>
    <t>https://assist.nat.gov.tw/wSite/ct?xItem=289529&amp;ctNode=150&amp;mp=2</t>
  </si>
  <si>
    <t>中小製造業接班傳承AI應用數位轉型(主題式研發補助)</t>
  </si>
  <si>
    <t>為協助中小型製造業者運用數位科技與人工智慧達成數位轉型目標，創造新商業模式，提供補助資源，鼓勵企業接班人透過創新思考模式，主導或協助公司進行數位轉型，重塑企業DNA建立新思維，並促使企業完成接班。</t>
  </si>
  <si>
    <t>轉型實踐案每案政府補助經費以新臺幣800萬元為上限，政府補助經費占總計畫經費以50%為上限。</t>
  </si>
  <si>
    <t>中小型製造業</t>
  </si>
  <si>
    <t>受理申請開始時間自公告日起至115年4月27日止。；企業執行期間:以1年為上限，並以收件截止日為計畫起始日。</t>
  </si>
  <si>
    <t>【名稱或簡述提到AI】轉型實踐案每案政府補助上限800萬,不超過總經費50%;執行期以1年為上限</t>
  </si>
  <si>
    <t>https://assist.nat.gov.tw/wSite/ct?xItem=289605&amp;ctNode=150&amp;mp=2</t>
  </si>
  <si>
    <t>協助中小型製造業數位轉型躍升計畫(委辦執行部分)</t>
  </si>
  <si>
    <t>透過共通輔導手法，推動中小型製造業數位轉型，協助提出新模式、新產品與新服務，研擬數位轉型輔導指南；盤點產業需求；規劃適性化解決方案；整合跨領域專家輔導團隊，協助數位轉型解決方案導入，達成增加營收、擴大海外市場與帶動薪資成長之目標。</t>
  </si>
  <si>
    <t>每案政府委辦經費75萬元、廠商自籌款15萬元。</t>
  </si>
  <si>
    <t>輔導（有輔導款）</t>
  </si>
  <si>
    <t>受理申請開始時間自5月中旬起至6月中旬止。；企業執行期間:經當年度遴選後，輔導約5個月。</t>
  </si>
  <si>
    <t>每案政府委辦經費75萬、廠商自籌15萬;受理期間只寫「5月中旬至6月中旬」,未載年份與日期,依115年度推斷應已結束,請確認</t>
  </si>
  <si>
    <t>https://www.ida.gov.tw/ctlr?PRO=project.rwdProjectView&amp;id=2814</t>
  </si>
  <si>
    <t>數據驅動製造業研發創新計畫</t>
  </si>
  <si>
    <t>為因應數位環境加速發展，以子產業別為對象以數位普及、賦能轉型及推廣擴散等策略作法，推動數位轉型的構想普及，透過開源工具體驗運用建構產業現有人力的數位基礎能力，強化產業轉型基礎，提升作業效率及產能，達到創造新價值的數位轉型目標。</t>
  </si>
  <si>
    <r>
      <rPr>
        <sz val="10"/>
        <rFont val="Microsoft JhengHei"/>
        <family val="2"/>
        <charset val="136"/>
      </rPr>
      <t>1.</t>
    </r>
    <r>
      <rPr>
        <sz val="10"/>
        <rFont val="Noto Sans CJK SC"/>
        <family val="2"/>
      </rPr>
      <t>產品開發</t>
    </r>
    <r>
      <rPr>
        <sz val="10"/>
        <rFont val="Microsoft JhengHei"/>
        <family val="2"/>
        <charset val="136"/>
      </rPr>
      <t>POC(Proof of Concept)</t>
    </r>
    <r>
      <rPr>
        <sz val="10"/>
        <rFont val="Noto Sans CJK SC"/>
        <family val="2"/>
      </rPr>
      <t>導入驗證每案新臺幣</t>
    </r>
    <r>
      <rPr>
        <sz val="10"/>
        <rFont val="Microsoft JhengHei"/>
        <family val="2"/>
        <charset val="136"/>
      </rPr>
      <t>25</t>
    </r>
    <r>
      <rPr>
        <sz val="10"/>
        <rFont val="Noto Sans CJK SC"/>
        <family val="2"/>
      </rPr>
      <t>萬元</t>
    </r>
    <r>
      <rPr>
        <sz val="10"/>
        <rFont val="Microsoft JhengHei"/>
        <family val="2"/>
        <charset val="136"/>
      </rPr>
      <t>(</t>
    </r>
    <r>
      <rPr>
        <sz val="10"/>
        <rFont val="Noto Sans CJK SC"/>
        <family val="2"/>
      </rPr>
      <t>含稅</t>
    </r>
    <r>
      <rPr>
        <sz val="10"/>
        <rFont val="Microsoft JhengHei"/>
        <family val="2"/>
        <charset val="136"/>
      </rPr>
      <t>)</t>
    </r>
    <r>
      <rPr>
        <sz val="10"/>
        <rFont val="Noto Sans CJK SC"/>
        <family val="2"/>
      </rPr>
      <t>：含政府款</t>
    </r>
    <r>
      <rPr>
        <sz val="10"/>
        <rFont val="Microsoft JhengHei"/>
        <family val="2"/>
        <charset val="136"/>
      </rPr>
      <t>15</t>
    </r>
    <r>
      <rPr>
        <sz val="10"/>
        <rFont val="Noto Sans CJK SC"/>
        <family val="2"/>
      </rPr>
      <t>萬元，廠商自籌款</t>
    </r>
    <r>
      <rPr>
        <sz val="10"/>
        <rFont val="Microsoft JhengHei"/>
        <family val="2"/>
        <charset val="136"/>
      </rPr>
      <t>10</t>
    </r>
    <r>
      <rPr>
        <sz val="10"/>
        <rFont val="Noto Sans CJK SC"/>
        <family val="2"/>
      </rPr>
      <t>萬元。；</t>
    </r>
    <r>
      <rPr>
        <sz val="10"/>
        <rFont val="Microsoft JhengHei"/>
        <family val="2"/>
        <charset val="136"/>
      </rPr>
      <t>2.</t>
    </r>
    <r>
      <rPr>
        <sz val="10"/>
        <rFont val="Noto Sans CJK SC"/>
        <family val="2"/>
      </rPr>
      <t>產品試銷</t>
    </r>
    <r>
      <rPr>
        <sz val="10"/>
        <rFont val="Microsoft JhengHei"/>
        <family val="2"/>
        <charset val="136"/>
      </rPr>
      <t>POB(Proof of Business)</t>
    </r>
    <r>
      <rPr>
        <sz val="10"/>
        <rFont val="Noto Sans CJK SC"/>
        <family val="2"/>
      </rPr>
      <t>導入驗證</t>
    </r>
    <r>
      <rPr>
        <sz val="10"/>
        <rFont val="Microsoft JhengHei"/>
        <family val="2"/>
        <charset val="136"/>
      </rPr>
      <t>(</t>
    </r>
    <r>
      <rPr>
        <sz val="10"/>
        <rFont val="Noto Sans CJK SC"/>
        <family val="2"/>
      </rPr>
      <t>註</t>
    </r>
    <r>
      <rPr>
        <sz val="10"/>
        <rFont val="Microsoft JhengHei"/>
        <family val="2"/>
        <charset val="136"/>
      </rPr>
      <t>)</t>
    </r>
    <r>
      <rPr>
        <sz val="10"/>
        <rFont val="Noto Sans CJK SC"/>
        <family val="2"/>
      </rPr>
      <t>；每案新臺幣</t>
    </r>
    <r>
      <rPr>
        <sz val="10"/>
        <rFont val="Microsoft JhengHei"/>
        <family val="2"/>
        <charset val="136"/>
      </rPr>
      <t>75</t>
    </r>
    <r>
      <rPr>
        <sz val="10"/>
        <rFont val="Noto Sans CJK SC"/>
        <family val="2"/>
      </rPr>
      <t>萬元</t>
    </r>
    <r>
      <rPr>
        <sz val="10"/>
        <rFont val="Microsoft JhengHei"/>
        <family val="2"/>
        <charset val="136"/>
      </rPr>
      <t>(</t>
    </r>
    <r>
      <rPr>
        <sz val="10"/>
        <rFont val="Noto Sans CJK SC"/>
        <family val="2"/>
      </rPr>
      <t>含稅</t>
    </r>
    <r>
      <rPr>
        <sz val="10"/>
        <rFont val="Microsoft JhengHei"/>
        <family val="2"/>
        <charset val="136"/>
      </rPr>
      <t>)</t>
    </r>
    <r>
      <rPr>
        <sz val="10"/>
        <rFont val="Noto Sans CJK SC"/>
        <family val="2"/>
      </rPr>
      <t>：含政府款</t>
    </r>
    <r>
      <rPr>
        <sz val="10"/>
        <rFont val="Microsoft JhengHei"/>
        <family val="2"/>
        <charset val="136"/>
      </rPr>
      <t>50</t>
    </r>
    <r>
      <rPr>
        <sz val="10"/>
        <rFont val="Noto Sans CJK SC"/>
        <family val="2"/>
      </rPr>
      <t>萬元，廠商自籌款</t>
    </r>
    <r>
      <rPr>
        <sz val="10"/>
        <rFont val="Microsoft JhengHei"/>
        <family val="2"/>
        <charset val="136"/>
      </rPr>
      <t>25</t>
    </r>
    <r>
      <rPr>
        <sz val="10"/>
        <rFont val="Noto Sans CJK SC"/>
        <family val="2"/>
      </rPr>
      <t>萬元。</t>
    </r>
  </si>
  <si>
    <t>自公告日起至年度驗證家數額度滿額為止，即停止受理。；企業執行期間:自公告日起至；115年11月30日止。</t>
  </si>
  <si>
    <t>受理至年度驗證家數額滿為止;POC驗證每案25萬(政府15萬)、POB驗證每案75萬(政府50萬);執行至2026-11-30</t>
  </si>
  <si>
    <t>https://assist.nat.gov.tw/wSite/ct?xItem=289634&amp;ctNode=150&amp;mp=2</t>
  </si>
  <si>
    <t>食品製造業數位轉型應用加值計畫</t>
  </si>
  <si>
    <t>每案政府委辦經費75萬元，每案廠商自籌款37.5萬元。</t>
  </si>
  <si>
    <t>中小製造業</t>
  </si>
  <si>
    <t>自公告日起至115年3月15日止。；企業執行期間:自公告日起至；9月30日截止。</t>
  </si>
  <si>
    <t>每案政府委辦經費75萬、廠商自籌37.5萬;由輔導團隊洽詢意願</t>
  </si>
  <si>
    <t>https://assist.nat.gov.tw/wSite/ct?xItem=289512&amp;ctNode=150&amp;mp=2</t>
  </si>
  <si>
    <t>塑橡膠製造業數位轉型應用加值計畫</t>
  </si>
  <si>
    <t>輔導塑橡膠製品業者產業數位升級，強化研發與製造量能，並依產業需求，運用相關數位科技，促使塑橡膠業者提升數位化層級，擴大數位轉型比例為目標，以擴大整體轉型效益。</t>
  </si>
  <si>
    <t>政府款：自籌款＝2:1；(輔導款額度用罄為止)</t>
  </si>
  <si>
    <t>民生化工業 / 化學材料產業, 應用材料產業；中小企業 / 限中小企業</t>
  </si>
  <si>
    <t>自115年1月1日起，或本年度產業發展署輔導款額度用罄為止。；企業執行期間:自公告日起至115年11月30日止。</t>
  </si>
  <si>
    <t>政府款與自籌款比例2:1;自2026-01-01起受理,輔導款額度用罄為止;執行至2026-11-30</t>
  </si>
  <si>
    <t>戶外休閒紡織製造業數位轉型應用加值計畫</t>
  </si>
  <si>
    <t>本計畫串聯公協會辦理到廠訪視，擴大中小製造業及次產業參與政府輔導資源。以接單廠為核心，帶動二階供應鏈與在地系統廠，導入數位生產、供應鏈與智慧排程管理，結合機聯、可視化與 AI 技術，提升產線效率與交期準確度，建立產業轉型典範，擴大數位轉型滲透。</t>
  </si>
  <si>
    <t>每案政府委辦經費上限250萬元，每案廠商自籌款107.5萬元/比例30%。</t>
  </si>
  <si>
    <t>民生化工業 / 紡織產業；中小企業 / 限中小企業；製造業及商業服務業 / 適用製造業及商業服務業</t>
  </si>
  <si>
    <t>自115年1月1日起，或本年度產業發展署輔導款額度用罄為止。；企業執行期間:自說明會日起至；115年6月30日止。</t>
  </si>
  <si>
    <t>【名稱或簡述提到AI】每案政府委辦經費上限250萬、自籌107.5萬(30%);受理期間欄寫額度用罄為止,但企業執行期間欄寫至2026-06-30,兩欄可能互相對調,請確認</t>
  </si>
  <si>
    <t>https://assist.nat.gov.tw/wSite/ct?xItem=289511&amp;ctNode=150&amp;mp=2</t>
  </si>
  <si>
    <t>化粧品製造業數位轉型應用加值計畫</t>
  </si>
  <si>
    <t>本計畫擬盤點國內化粧品產業現況，依據業者規模及積極度，訂定訪視順序並提供客製化解決方案。對於尚未運用數位工具企業，協助導入數位化管理系統；而具備數位轉型潛力業者，則強化生產與營運階段之數位優化，形塑數位轉型典範案例擴散至整體產業。</t>
  </si>
  <si>
    <t>每案政府經費/廠商自籌款比例上限 1:1。</t>
  </si>
  <si>
    <t>化粧品製造業</t>
  </si>
  <si>
    <t>自115年1月1日起，或本年度產業發展署輔導款額度用罄為止。；企業執行期間:經當年度遴選通過後，輔導期間至115年11月30日止。</t>
  </si>
  <si>
    <t>政府經費與廠商自籌比例上限1:1;自2026-01-01起受理,輔導款額度用罄為止;輔導期至2026-11-30</t>
  </si>
  <si>
    <t>https://assist.nat.gov.tw/wSite/ct?xItem=289564&amp;ctNode=150&amp;mp=2</t>
  </si>
  <si>
    <t>扶植新創驅動企業創新轉型計畫（推動中小及新創企業創育機構發展計畫）</t>
  </si>
  <si>
    <t>強化創育機構服務量能與新創支援網絡，協助新創團隊取得培育、資源媒合與成長服務；是否對外受理及資源內容，應依年度公告或個別徵案判定。</t>
  </si>
  <si>
    <t>依徵案或輔導方案</t>
  </si>
  <si>
    <t>創育機構、新創支援單位及受輔導新創</t>
  </si>
  <si>
    <t>依年度公告</t>
  </si>
  <si>
    <t>上傳清單的受理期間與金額均寫「依年度公告」</t>
  </si>
  <si>
    <t>https://startup.sme.gov.tw/incubator/news/68d2431cde1b4a5e8b10f76b</t>
  </si>
  <si>
    <t>推動跨域研發引領中小企業升級轉型計畫（SBIR跨域研發，115案）</t>
  </si>
  <si>
    <t>鼓勵中小企業與新創企業組成聯盟，針對AI智慧應用、無人載具或淨零等主軸共同研發，強化跨域創新、技術商轉與市場拓展能力。</t>
  </si>
  <si>
    <t>每案最高700萬；自籌款至少50%</t>
  </si>
  <si>
    <t>至少2家中小企業組成聯盟，且其中1家須為新創</t>
  </si>
  <si>
    <t>公告日起至114/12/09 17:30（115案）；企業執行期間:公告核定當月1日起至115年10月15日止</t>
  </si>
  <si>
    <t>【名稱或簡述提到AI】每案最高700萬,自籌款至少50%;須至少2家中小企業組成聯盟,其中1家為新創</t>
  </si>
  <si>
    <t>https://sbir.org.tw/news/main_content?id=12253&amp;page=5</t>
  </si>
  <si>
    <r>
      <rPr>
        <sz val="10"/>
        <rFont val="Microsoft JhengHei"/>
        <family val="2"/>
        <charset val="136"/>
      </rPr>
      <t>115</t>
    </r>
    <r>
      <rPr>
        <sz val="10"/>
        <rFont val="Noto Sans CJK SC"/>
        <family val="2"/>
      </rPr>
      <t>年度小微企業區域數位加值與創新體驗計畫（城鄉聯盟）</t>
    </r>
  </si>
  <si>
    <t>以城鄉聯盟整合地方店家與產業動能，透過數位加值、創新體驗、通路媒合與組織化輔導，建立可商轉且具永續性的區域特色產業模式。</t>
  </si>
  <si>
    <t>輔導案；依115須知</t>
  </si>
  <si>
    <t>在地企業、法人或公協會代表城鄉聯盟提案</t>
  </si>
  <si>
    <t>公告日起至115/04/15；企業執行期間:依核定輔導期程（受理至115年4月15日止）</t>
  </si>
  <si>
    <t>輔導案,金額依115年度須知;由在地企業、法人或公協會代表城鄉聯盟提案</t>
  </si>
  <si>
    <t>https://www.sme.gov.tw/article-tw-2275-14428</t>
  </si>
  <si>
    <t>中小企業數據驅動政策校準與輔導策略強化計畫(政策研究委辦案)</t>
  </si>
  <si>
    <t>本案為中小微企業科技應用、政策校準與包容成長的政策研究或執行支援工作，附件註記為智庫案；屬委辦採購，而不是企業直接申請的補助。</t>
  </si>
  <si>
    <t>https://www.sme.gov.tw/</t>
  </si>
  <si>
    <t>中小企業數據創新加值計畫（推動中小企業創新經濟開拓市場計畫）</t>
  </si>
  <si>
    <t>透過諮詢診斷、人才培育與群聚輔導，協助生活消費相關中小企業以數據應用、供應鏈整合與創新商模開拓市場及提升商機。</t>
  </si>
  <si>
    <t>符合中小企業認定標準且已公司或商業登記之業者</t>
  </si>
  <si>
    <t>公告日起至115/04/22 17:00；企業執行期間:依核定輔導期程（受理至115年4月22日17:00止）</t>
  </si>
  <si>
    <t>輔導案,金額依115年度須知;截止2026-04-22 17:00</t>
  </si>
  <si>
    <t>https://www.sme.gov.tw/article-tw-2814-14140</t>
  </si>
  <si>
    <t>創業資源整備服務計畫（115年度臺灣創業服務發展計畫）</t>
  </si>
  <si>
    <t>整備創業服務資源、強化新創支持網絡與創業環境，可能透過活動、服務或委辦項目提供資源；是否開放申請與對象需依各年度子方案判定。</t>
  </si>
  <si>
    <t>依子方案；未見固定金額</t>
  </si>
  <si>
    <t>輔導（無輔導款）／諮詢訪視</t>
  </si>
  <si>
    <t>新創企業、創業團隊及服務機構</t>
  </si>
  <si>
    <t>依年度活動、服務或委辦公告</t>
  </si>
  <si>
    <t>依子方案規定,無固定金額與期限</t>
  </si>
  <si>
    <t>https://assist.nat.gov.tw/wSite/ct?xItem=289505&amp;ctNode=150&amp;mp=2</t>
  </si>
  <si>
    <t>無（本案屬新創生態系研究與政策支援智庫委辦案，非對外公開申請）</t>
  </si>
  <si>
    <t>提供新創生態系研究、政策分析與執行支援，附件註記為智庫案；主要透過政府委辦或採購實施，不是個別新創企業可直接申請的補助計畫。</t>
  </si>
  <si>
    <t>上傳清單載明為新創生態系研究與政策支援智庫委辦案,非對外公開申請</t>
  </si>
  <si>
    <t>中小企業網路大學校計畫（AI主題課程）</t>
  </si>
  <si>
    <t>機關</t>
  </si>
  <si>
    <t>綱要計畫名稱</t>
  </si>
  <si>
    <t>政策資源名稱(對外公告)</t>
  </si>
  <si>
    <t>上傳檔「是否納入」</t>
  </si>
  <si>
    <t>名稱或簡述提到AI</t>
  </si>
  <si>
    <t>對應完整版編號</t>
  </si>
  <si>
    <t>完整版計畫名稱</t>
  </si>
  <si>
    <t>比對說明</t>
  </si>
  <si>
    <t>資服業轉型雲服務暨推廣計畫</t>
  </si>
  <si>
    <t>Y</t>
  </si>
  <si>
    <t>同一計畫:數位產業署AI創新服務研發補助計畫;名稱相同,申請至7/24、上限500萬/2,000萬一致</t>
  </si>
  <si>
    <t>新創前瞻技術淬鍊計畫</t>
  </si>
  <si>
    <t>完整版未收錄</t>
  </si>
  <si>
    <t>中小企業整體競爭力提升方案-運用數位新貿易模式計畫</t>
  </si>
  <si>
    <t>無（本案屬平台建置委辦／採購案，非對外公告之政策資源）</t>
  </si>
  <si>
    <t>N</t>
  </si>
  <si>
    <t>商業服務業數據驅動價值創造計畫</t>
  </si>
  <si>
    <t>商業服務業創新科技加值發展計畫</t>
  </si>
  <si>
    <r>
      <rPr>
        <sz val="10"/>
        <rFont val="Microsoft JhengHei"/>
        <family val="2"/>
        <charset val="136"/>
      </rPr>
      <t>115</t>
    </r>
    <r>
      <rPr>
        <sz val="10"/>
        <rFont val="Noto Sans CJK SC"/>
        <family val="2"/>
      </rPr>
      <t>年度「糕餅業創新永續發展計畫」糕餅業深度輔導</t>
    </r>
  </si>
  <si>
    <t>無（本案屬政策研究／智庫委辦案，非對外公開申請）</t>
  </si>
  <si>
    <t>促進中小型製造業轉型加值計畫</t>
  </si>
  <si>
    <t>同一計畫:智慧機械主題式研發補助(供應鏈智慧製造),完整版名稱為「智慧機械-產業聚落供應鏈數位串流暨AI應用」;1,500萬、5/4截止一致</t>
  </si>
  <si>
    <t>製造業數位轉型應用加值計畫</t>
  </si>
  <si>
    <t>加速共創研發推動計畫</t>
  </si>
  <si>
    <t>科技應用驅動中小微企業包容成長計畫</t>
  </si>
  <si>
    <t>部分對應:完整版#13為「SME AI平台與中小企業網路大學校」,上傳清單為網路大學校計畫(AI主題課程)補助</t>
  </si>
  <si>
    <t>政府AI計畫統計(公式依「計畫總表」自動計算)</t>
  </si>
  <si>
    <t>查證基準日(輸入)</t>
  </si>
  <si>
    <t>改此日期,申請狀態與距截止天數會重新計算</t>
  </si>
  <si>
    <t>項數</t>
  </si>
  <si>
    <t>合計</t>
  </si>
  <si>
    <t>補助上限最大值(萬元)</t>
  </si>
  <si>
    <t>申請狀態(截至基準日)</t>
  </si>
  <si>
    <t>受理中</t>
  </si>
  <si>
    <t>已截止</t>
  </si>
  <si>
    <t>有出現在上傳清單(打勾)</t>
  </si>
  <si>
    <t>未出現</t>
  </si>
  <si>
    <t>上傳清單政策資源列數</t>
  </si>
  <si>
    <t>已對應到完整版</t>
  </si>
  <si>
    <t>其中名稱或簡述提到AI且未收錄</t>
  </si>
  <si>
    <t>檢核:各表合計是否與總表列數一致</t>
  </si>
  <si>
    <t>檢核:打勾數是否等於對應編號數</t>
  </si>
  <si>
    <r>
      <rPr>
        <b/>
        <sz val="11"/>
        <color rgb="FFFFFFFF"/>
        <rFont val="Microsoft JhengHei"/>
        <family val="2"/>
        <charset val="136"/>
      </rPr>
      <t>115</t>
    </r>
    <r>
      <rPr>
        <b/>
        <sz val="11"/>
        <color rgb="FFFFFFFF"/>
        <rFont val="Noto Sans CJK SC"/>
        <family val="2"/>
      </rPr>
      <t>年方案彙整分頁</t>
    </r>
  </si>
  <si>
    <t>完整版已收錄(打勾)</t>
  </si>
  <si>
    <t>完整版未收錄(已補資料)</t>
  </si>
  <si>
    <t>未收錄項目的申請狀態</t>
  </si>
  <si>
    <t>其中名稱或簡述提到AI的未收錄項目</t>
  </si>
  <si>
    <t>檢核:未收錄項數與狀態合計是否一致</t>
  </si>
  <si>
    <t>檢核:新分頁打勾數是否等於「比對結果」對應數</t>
  </si>
  <si>
    <t>項目</t>
  </si>
  <si>
    <t>先前回答的說法</t>
  </si>
  <si>
    <t>核對後</t>
  </si>
  <si>
    <t>影響</t>
  </si>
  <si>
    <t>依據</t>
  </si>
  <si>
    <t>先期顧問規劃案補助上限500萬元</t>
  </si>
  <si>
    <r>
      <rPr>
        <sz val="10"/>
        <rFont val="Microsoft JhengHei"/>
        <family val="2"/>
        <charset val="136"/>
      </rPr>
      <t>115</t>
    </r>
    <r>
      <rPr>
        <sz val="10"/>
        <rFont val="Noto Sans CJK SC"/>
        <family val="2"/>
      </rPr>
      <t>年</t>
    </r>
    <r>
      <rPr>
        <sz val="10"/>
        <rFont val="Microsoft JhengHei"/>
        <family val="2"/>
        <charset val="136"/>
      </rPr>
      <t>3</t>
    </r>
    <r>
      <rPr>
        <sz val="10"/>
        <rFont val="Noto Sans CJK SC"/>
        <family val="2"/>
      </rPr>
      <t>月版申請須知</t>
    </r>
    <r>
      <rPr>
        <sz val="10"/>
        <rFont val="Microsoft JhengHei"/>
        <family val="2"/>
        <charset val="136"/>
      </rPr>
      <t>:</t>
    </r>
    <r>
      <rPr>
        <sz val="10"/>
        <rFont val="Noto Sans CJK SC"/>
        <family val="2"/>
      </rPr>
      <t>每案上限</t>
    </r>
    <r>
      <rPr>
        <sz val="10"/>
        <rFont val="Microsoft JhengHei"/>
        <family val="2"/>
        <charset val="136"/>
      </rPr>
      <t>1,500</t>
    </r>
    <r>
      <rPr>
        <sz val="10"/>
        <rFont val="Noto Sans CJK SC"/>
        <family val="2"/>
      </rPr>
      <t>萬元</t>
    </r>
    <r>
      <rPr>
        <sz val="10"/>
        <rFont val="Microsoft JhengHei"/>
        <family val="2"/>
        <charset val="136"/>
      </rPr>
      <t>,</t>
    </r>
    <r>
      <rPr>
        <sz val="10"/>
        <rFont val="Noto Sans CJK SC"/>
        <family val="2"/>
      </rPr>
      <t>不超過總經費</t>
    </r>
    <r>
      <rPr>
        <sz val="10"/>
        <rFont val="Microsoft JhengHei"/>
        <family val="2"/>
        <charset val="136"/>
      </rPr>
      <t>50%;</t>
    </r>
    <r>
      <rPr>
        <sz val="10"/>
        <rFont val="Noto Sans CJK SC"/>
        <family val="2"/>
      </rPr>
      <t>收件至</t>
    </r>
    <r>
      <rPr>
        <sz val="10"/>
        <rFont val="Microsoft JhengHei"/>
        <family val="2"/>
        <charset val="136"/>
      </rPr>
      <t>2026-05-04,</t>
    </r>
    <r>
      <rPr>
        <sz val="10"/>
        <rFont val="Noto Sans CJK SC"/>
        <family val="2"/>
      </rPr>
      <t>已截止</t>
    </r>
  </si>
  <si>
    <t>更正金額與狀態</t>
  </si>
  <si>
    <r>
      <rPr>
        <sz val="10"/>
        <rFont val="Microsoft JhengHei"/>
        <family val="2"/>
        <charset val="136"/>
      </rPr>
      <t>https://keid.nat.gov.tw/cloud/Web/UpWebload/ACE60748-3BEA-43F0-B094-9783B1E3039B.pdf(500</t>
    </r>
    <r>
      <rPr>
        <sz val="10"/>
        <rFont val="Noto Sans CJK SC"/>
        <family val="2"/>
      </rPr>
      <t>萬為</t>
    </r>
    <r>
      <rPr>
        <sz val="10"/>
        <rFont val="Microsoft JhengHei"/>
        <family val="2"/>
        <charset val="136"/>
      </rPr>
      <t>114</t>
    </r>
    <r>
      <rPr>
        <sz val="10"/>
        <rFont val="Noto Sans CJK SC"/>
        <family val="2"/>
      </rPr>
      <t>年版</t>
    </r>
    <r>
      <rPr>
        <sz val="10"/>
        <rFont val="Microsoft JhengHei"/>
        <family val="2"/>
        <charset val="136"/>
      </rPr>
      <t>)</t>
    </r>
  </si>
  <si>
    <r>
      <rPr>
        <sz val="10"/>
        <rFont val="Microsoft JhengHei"/>
        <family val="2"/>
        <charset val="136"/>
      </rPr>
      <t>AI</t>
    </r>
    <r>
      <rPr>
        <sz val="10"/>
        <rFont val="Noto Sans CJK SC"/>
        <family val="2"/>
      </rPr>
      <t>創新服務研發補助計畫</t>
    </r>
    <r>
      <rPr>
        <sz val="10"/>
        <rFont val="Microsoft JhengHei"/>
        <family val="2"/>
        <charset val="136"/>
      </rPr>
      <t>(</t>
    </r>
    <r>
      <rPr>
        <sz val="10"/>
        <rFont val="Noto Sans CJK SC"/>
        <family val="2"/>
      </rPr>
      <t>數發部</t>
    </r>
    <r>
      <rPr>
        <sz val="10"/>
        <rFont val="Microsoft JhengHei"/>
        <family val="2"/>
        <charset val="136"/>
      </rPr>
      <t>)</t>
    </r>
  </si>
  <si>
    <t>列出期程至115/11/16與116/11/16,容易被當成申請期限</t>
  </si>
  <si>
    <t>申請截止為2026-07-24 16:59:59,已截止;11/16為計畫期程</t>
  </si>
  <si>
    <t>更正狀態</t>
  </si>
  <si>
    <r>
      <rPr>
        <sz val="10"/>
        <rFont val="Microsoft JhengHei"/>
        <family val="2"/>
        <charset val="136"/>
      </rPr>
      <t>https://www.jfetek.com/news/6(</t>
    </r>
    <r>
      <rPr>
        <sz val="10"/>
        <rFont val="Noto Sans CJK SC"/>
        <family val="2"/>
      </rPr>
      <t>顧問網站</t>
    </r>
    <r>
      <rPr>
        <sz val="10"/>
        <rFont val="Microsoft JhengHei"/>
        <family val="2"/>
        <charset val="136"/>
      </rPr>
      <t>,</t>
    </r>
    <r>
      <rPr>
        <sz val="10"/>
        <rFont val="Noto Sans CJK SC"/>
        <family val="2"/>
      </rPr>
      <t>未取得原公告</t>
    </r>
    <r>
      <rPr>
        <sz val="10"/>
        <rFont val="Microsoft JhengHei"/>
        <family val="2"/>
        <charset val="136"/>
      </rPr>
      <t>)</t>
    </r>
  </si>
  <si>
    <t>第二、三類AI中心補助計畫(衛福部)</t>
  </si>
  <si>
    <t>只寫補助金額與執行期</t>
  </si>
  <si>
    <t>受理至2026-09-21,已截止;對象為完成114年度計畫的醫院</t>
  </si>
  <si>
    <t>補充狀態與對象</t>
  </si>
  <si>
    <r>
      <rPr>
        <sz val="10"/>
        <rFont val="Microsoft JhengHei"/>
        <family val="2"/>
        <charset val="136"/>
      </rPr>
      <t>AI</t>
    </r>
    <r>
      <rPr>
        <sz val="10"/>
        <rFont val="Noto Sans CJK SC"/>
        <family val="2"/>
      </rPr>
      <t>算力平台</t>
    </r>
    <r>
      <rPr>
        <sz val="10"/>
        <rFont val="Microsoft JhengHei"/>
        <family val="2"/>
        <charset val="136"/>
      </rPr>
      <t>(</t>
    </r>
    <r>
      <rPr>
        <sz val="10"/>
        <rFont val="Noto Sans CJK SC"/>
        <family val="2"/>
      </rPr>
      <t>數發部</t>
    </r>
    <r>
      <rPr>
        <sz val="10"/>
        <rFont val="Microsoft JhengHei"/>
        <family val="2"/>
        <charset val="136"/>
      </rPr>
      <t>)</t>
    </r>
  </si>
  <si>
    <t>對象為資訊服務業與新創</t>
  </si>
  <si>
    <t>申請資格涵蓋軟體、資訊服務、電商、第三方支付等數位經濟產業;成立未滿8年新創優先;截止2026-10-30 23:59(確認)</t>
  </si>
  <si>
    <t>補充資格</t>
  </si>
  <si>
    <t>雲市集工業館-AI工具庫點數補助</t>
  </si>
  <si>
    <t>受理至2026-10-30</t>
  </si>
  <si>
    <t>中小企業處官方頁確認2026-10-30 17:30;輔導資源查詢頁卻寫117年10月20日;另有部落格稱點數2026-07已用罄</t>
  </si>
  <si>
    <t>衝突未解,需向產發署確認</t>
  </si>
  <si>
    <t>https://www.sme.gov.tw/caas/article-caas-3059-20513 ;https://assist.nat.gov.tw/wSite/ct?ctNode=150&amp;mp=2&amp;xItem=289607</t>
  </si>
  <si>
    <t>產業競爭力輔導團診斷補助</t>
  </si>
  <si>
    <t>政府補助19萬+企業自付1萬</t>
  </si>
  <si>
    <t>官方PDF摘要顯示18萬+自付2萬;多數報導為19萬+1萬;兩者合計皆為20萬</t>
  </si>
  <si>
    <t>衝突未解,以申請須知為準</t>
  </si>
  <si>
    <r>
      <rPr>
        <sz val="10"/>
        <rFont val="Microsoft JhengHei"/>
        <family val="2"/>
        <charset val="136"/>
      </rPr>
      <t>A+ AI</t>
    </r>
    <r>
      <rPr>
        <sz val="10"/>
        <rFont val="Noto Sans CJK SC"/>
        <family val="2"/>
      </rPr>
      <t>應用躍昇計畫</t>
    </r>
  </si>
  <si>
    <t>補助上限每案3,000萬</t>
  </si>
  <si>
    <t>官方新聞:導入型2,000萬(SI加碼1,000萬)、擴散型2,000萬,合計最高3,000萬;114年度受理至2025-11-28;115年度徵案未查到</t>
  </si>
  <si>
    <t>補充說明,狀態標為已截止</t>
  </si>
  <si>
    <t>產業競爭力輔導團成效</t>
  </si>
  <si>
    <r>
      <rPr>
        <sz val="10"/>
        <rFont val="Microsoft JhengHei"/>
        <family val="2"/>
        <charset val="136"/>
      </rPr>
      <t>9,249</t>
    </r>
    <r>
      <rPr>
        <sz val="10"/>
        <rFont val="Noto Sans CJK SC"/>
        <family val="2"/>
      </rPr>
      <t>家、</t>
    </r>
    <r>
      <rPr>
        <sz val="10"/>
        <rFont val="Microsoft JhengHei"/>
        <family val="2"/>
        <charset val="136"/>
      </rPr>
      <t>93%</t>
    </r>
    <r>
      <rPr>
        <sz val="10"/>
        <rFont val="Noto Sans CJK SC"/>
        <family val="2"/>
      </rPr>
      <t>中小企業、</t>
    </r>
    <r>
      <rPr>
        <sz val="10"/>
        <rFont val="Microsoft JhengHei"/>
        <family val="2"/>
        <charset val="136"/>
      </rPr>
      <t>397</t>
    </r>
    <r>
      <rPr>
        <sz val="10"/>
        <rFont val="Noto Sans CJK SC"/>
        <family val="2"/>
      </rPr>
      <t>項</t>
    </r>
    <r>
      <rPr>
        <sz val="10"/>
        <rFont val="Microsoft JhengHei"/>
        <family val="2"/>
        <charset val="136"/>
      </rPr>
      <t>AI</t>
    </r>
    <r>
      <rPr>
        <sz val="10"/>
        <rFont val="Noto Sans CJK SC"/>
        <family val="2"/>
      </rPr>
      <t>工具</t>
    </r>
  </si>
  <si>
    <t>中央社2026-07-09報導逐項相符;另載帶動產值323億元、AI普及率38.5%</t>
  </si>
  <si>
    <t>已核對</t>
  </si>
  <si>
    <t>https://www.cna.com.tw/news/afe/202607090138.aspx</t>
  </si>
  <si>
    <t>中企署提升中小企業智慧化經營效能計畫</t>
  </si>
  <si>
    <t>三大措施、診斷培訓導入</t>
  </si>
  <si>
    <t>官方新聞確認;申請至2026-03-10,已截止;AI導入應用輔導每案輔導總經費最高350萬</t>
  </si>
  <si>
    <t>補充金額與狀態</t>
  </si>
  <si>
    <t>主題式-製造業AI升級擴散與機器人</t>
  </si>
  <si>
    <t>只有計畫名稱</t>
  </si>
  <si>
    <t>產業署公告2026-05-29,受理至2026-06-30,已截止;補助上限未載</t>
  </si>
  <si>
    <t>補充狀態</t>
  </si>
  <si>
    <t>晶片補助,重點為AI應用</t>
  </si>
  <si>
    <r>
      <rPr>
        <sz val="10"/>
        <rFont val="Microsoft JhengHei"/>
        <family val="2"/>
        <charset val="136"/>
      </rPr>
      <t>115</t>
    </r>
    <r>
      <rPr>
        <sz val="10"/>
        <rFont val="Noto Sans CJK SC"/>
        <family val="2"/>
      </rPr>
      <t>年度受理至</t>
    </r>
    <r>
      <rPr>
        <sz val="10"/>
        <rFont val="Microsoft JhengHei"/>
        <family val="2"/>
        <charset val="136"/>
      </rPr>
      <t>2026-03-31,</t>
    </r>
    <r>
      <rPr>
        <sz val="10"/>
        <rFont val="Noto Sans CJK SC"/>
        <family val="2"/>
      </rPr>
      <t>已截止</t>
    </r>
  </si>
  <si>
    <t>國科會AI中央廚房</t>
  </si>
  <si>
    <t>業者最高3,000萬、大專院校500萬</t>
  </si>
  <si>
    <t>金額與期程相符;115年度徵案2025-12-05至2026-01-20;2026-04報導稱再次徵案,期限未載</t>
  </si>
  <si>
    <t>金額核對,期限待確認</t>
  </si>
  <si>
    <t>勞動部兩項方案</t>
  </si>
  <si>
    <t>新尖兵最高10萬、人才投資方案7萬</t>
  </si>
  <si>
    <t>仍是113年與2023年的新聞數字,未取得現行公告</t>
  </si>
  <si>
    <t>無法確認現行額度</t>
  </si>
  <si>
    <t>與「115年中小企業競爭力方案」彙整表比對</t>
  </si>
  <si>
    <r>
      <rPr>
        <sz val="10"/>
        <rFont val="Microsoft JhengHei"/>
        <family val="2"/>
        <charset val="136"/>
      </rPr>
      <t>(</t>
    </r>
    <r>
      <rPr>
        <sz val="10"/>
        <rFont val="Noto Sans CJK SC"/>
        <family val="2"/>
      </rPr>
      <t>新增</t>
    </r>
    <r>
      <rPr>
        <sz val="10"/>
        <rFont val="Microsoft JhengHei"/>
        <family val="2"/>
        <charset val="136"/>
      </rPr>
      <t>)</t>
    </r>
  </si>
  <si>
    <t>上傳的經濟部彙整表共41列政策資源,與完整版對應3項:AI創新服務研發補助、智慧機械主題式研發補助、網路大學校(AI主題課程,部分對應);其餘完整版未收錄</t>
  </si>
  <si>
    <t>兩份清單的金額、期限相互印證;網路大學校AI課程補助已於2026-07-31截止</t>
  </si>
  <si>
    <t>使用者提供的 20260820_v3.xlsx(比對結果分頁有逐列對照)</t>
  </si>
  <si>
    <r>
      <rPr>
        <sz val="10"/>
        <rFont val="Microsoft JhengHei"/>
        <family val="2"/>
        <charset val="136"/>
      </rPr>
      <t>115</t>
    </r>
    <r>
      <rPr>
        <sz val="10"/>
        <rFont val="Noto Sans CJK SC"/>
        <family val="2"/>
      </rPr>
      <t>年方案彙整分頁</t>
    </r>
    <r>
      <rPr>
        <sz val="10"/>
        <rFont val="Microsoft JhengHei"/>
        <family val="2"/>
        <charset val="136"/>
      </rPr>
      <t>(</t>
    </r>
    <r>
      <rPr>
        <sz val="10"/>
        <rFont val="Noto Sans CJK SC"/>
        <family val="2"/>
      </rPr>
      <t>新增</t>
    </r>
    <r>
      <rPr>
        <sz val="10"/>
        <rFont val="Microsoft JhengHei"/>
        <family val="2"/>
        <charset val="136"/>
      </rPr>
      <t>)</t>
    </r>
  </si>
  <si>
    <r>
      <rPr>
        <sz val="10"/>
        <rFont val="Microsoft JhengHei"/>
        <family val="2"/>
        <charset val="136"/>
      </rPr>
      <t>38</t>
    </r>
    <r>
      <rPr>
        <sz val="10"/>
        <rFont val="Noto Sans CJK SC"/>
        <family val="2"/>
      </rPr>
      <t>項完整版未收錄的方案依上傳清單補齊</t>
    </r>
    <r>
      <rPr>
        <sz val="10"/>
        <rFont val="Microsoft JhengHei"/>
        <family val="2"/>
        <charset val="136"/>
      </rPr>
      <t>;</t>
    </r>
    <r>
      <rPr>
        <sz val="10"/>
        <rFont val="Noto Sans CJK SC"/>
        <family val="2"/>
      </rPr>
      <t>截至</t>
    </r>
    <r>
      <rPr>
        <sz val="10"/>
        <rFont val="Microsoft JhengHei"/>
        <family val="2"/>
        <charset val="136"/>
      </rPr>
      <t>2026-10-20:23</t>
    </r>
    <r>
      <rPr>
        <sz val="10"/>
        <rFont val="Noto Sans CJK SC"/>
        <family val="2"/>
      </rPr>
      <t>項已截止、</t>
    </r>
    <r>
      <rPr>
        <sz val="10"/>
        <rFont val="Microsoft JhengHei"/>
        <family val="2"/>
        <charset val="136"/>
      </rPr>
      <t>2</t>
    </r>
    <r>
      <rPr>
        <sz val="10"/>
        <rFont val="Noto Sans CJK SC"/>
        <family val="2"/>
      </rPr>
      <t>項受理中</t>
    </r>
    <r>
      <rPr>
        <sz val="10"/>
        <rFont val="Microsoft JhengHei"/>
        <family val="2"/>
        <charset val="136"/>
      </rPr>
      <t>(A+STEP</t>
    </r>
    <r>
      <rPr>
        <sz val="10"/>
        <rFont val="Noto Sans CJK SC"/>
        <family val="2"/>
      </rPr>
      <t>至</t>
    </r>
    <r>
      <rPr>
        <sz val="10"/>
        <rFont val="Microsoft JhengHei"/>
        <family val="2"/>
        <charset val="136"/>
      </rPr>
      <t>2026-12-31</t>
    </r>
    <r>
      <rPr>
        <sz val="10"/>
        <rFont val="Noto Sans CJK SC"/>
        <family val="2"/>
      </rPr>
      <t>、服務業</t>
    </r>
    <r>
      <rPr>
        <sz val="10"/>
        <rFont val="Microsoft JhengHei"/>
        <family val="2"/>
        <charset val="136"/>
      </rPr>
      <t>AI</t>
    </r>
    <r>
      <rPr>
        <sz val="10"/>
        <rFont val="Noto Sans CJK SC"/>
        <family val="2"/>
      </rPr>
      <t>人才培育至</t>
    </r>
    <r>
      <rPr>
        <sz val="10"/>
        <rFont val="Microsoft JhengHei"/>
        <family val="2"/>
        <charset val="136"/>
      </rPr>
      <t>2026-11-30)</t>
    </r>
    <r>
      <rPr>
        <sz val="10"/>
        <rFont val="Noto Sans CJK SC"/>
        <family val="2"/>
      </rPr>
      <t>、</t>
    </r>
    <r>
      <rPr>
        <sz val="10"/>
        <rFont val="Microsoft JhengHei"/>
        <family val="2"/>
        <charset val="136"/>
      </rPr>
      <t>3</t>
    </r>
    <r>
      <rPr>
        <sz val="10"/>
        <rFont val="Noto Sans CJK SC"/>
        <family val="2"/>
      </rPr>
      <t>項額度用罄為止、</t>
    </r>
    <r>
      <rPr>
        <sz val="10"/>
        <rFont val="Microsoft JhengHei"/>
        <family val="2"/>
        <charset val="136"/>
      </rPr>
      <t>10</t>
    </r>
    <r>
      <rPr>
        <sz val="10"/>
        <rFont val="Noto Sans CJK SC"/>
        <family val="2"/>
      </rPr>
      <t>項為未確認、分項期限不同或非申請制</t>
    </r>
    <r>
      <rPr>
        <sz val="10"/>
        <rFont val="Microsoft JhengHei"/>
        <family val="2"/>
        <charset val="136"/>
      </rPr>
      <t>(</t>
    </r>
    <r>
      <rPr>
        <sz val="10"/>
        <rFont val="Noto Sans CJK SC"/>
        <family val="2"/>
      </rPr>
      <t>含</t>
    </r>
    <r>
      <rPr>
        <sz val="10"/>
        <rFont val="Microsoft JhengHei"/>
        <family val="2"/>
        <charset val="136"/>
      </rPr>
      <t>4</t>
    </r>
    <r>
      <rPr>
        <sz val="10"/>
        <rFont val="Noto Sans CJK SC"/>
        <family val="2"/>
      </rPr>
      <t>項委辦案</t>
    </r>
    <r>
      <rPr>
        <sz val="10"/>
        <rFont val="Microsoft JhengHei"/>
        <family val="2"/>
        <charset val="136"/>
      </rPr>
      <t>);</t>
    </r>
    <r>
      <rPr>
        <sz val="10"/>
        <rFont val="Noto Sans CJK SC"/>
        <family val="2"/>
      </rPr>
      <t>另抽查</t>
    </r>
    <r>
      <rPr>
        <sz val="10"/>
        <rFont val="Microsoft JhengHei"/>
        <family val="2"/>
        <charset val="136"/>
      </rPr>
      <t>4</t>
    </r>
    <r>
      <rPr>
        <sz val="10"/>
        <rFont val="Noto Sans CJK SC"/>
        <family val="2"/>
      </rPr>
      <t>項官網</t>
    </r>
    <r>
      <rPr>
        <sz val="10"/>
        <rFont val="Microsoft JhengHei"/>
        <family val="2"/>
        <charset val="136"/>
      </rPr>
      <t>,</t>
    </r>
    <r>
      <rPr>
        <sz val="10"/>
        <rFont val="Noto Sans CJK SC"/>
        <family val="2"/>
      </rPr>
      <t>頁面未載詳細資訊</t>
    </r>
  </si>
  <si>
    <t>彙整資料以上傳清單為準,金額與期限申請前請至公告網站確認</t>
  </si>
  <si>
    <t>使用者提供的 20260820_v3.xlsx;newtrade.taiwantrade.com</t>
  </si>
  <si>
    <t>說明與假設</t>
  </si>
  <si>
    <t>查證基準日</t>
  </si>
  <si>
    <r>
      <rPr>
        <sz val="10"/>
        <rFont val="Microsoft JhengHei"/>
        <family val="2"/>
        <charset val="136"/>
      </rPr>
      <t>2026-10-20(Asia/Taipei);</t>
    </r>
    <r>
      <rPr>
        <sz val="10"/>
        <rFont val="Noto Sans CJK SC"/>
        <family val="2"/>
      </rPr>
      <t>基準日在統計頁</t>
    </r>
    <r>
      <rPr>
        <sz val="10"/>
        <rFont val="Microsoft JhengHei"/>
        <family val="2"/>
        <charset val="136"/>
      </rPr>
      <t>B2,</t>
    </r>
    <r>
      <rPr>
        <sz val="10"/>
        <rFont val="Noto Sans CJK SC"/>
        <family val="2"/>
      </rPr>
      <t>可修改</t>
    </r>
  </si>
  <si>
    <t>資料範圍</t>
  </si>
  <si>
    <t>合併前兩則回答:經濟部(第一則)與其他中央部會(第二則),共26列</t>
  </si>
  <si>
    <r>
      <rPr>
        <b/>
        <sz val="10"/>
        <rFont val="Microsoft JhengHei"/>
        <family val="2"/>
        <charset val="136"/>
      </rPr>
      <t>115</t>
    </r>
    <r>
      <rPr>
        <b/>
        <sz val="10"/>
        <rFont val="Noto Sans CJK SC"/>
        <family val="2"/>
      </rPr>
      <t>年中小企業競爭力方案欄</t>
    </r>
  </si>
  <si>
    <t>與你提供的 20260820_v3.xlsx(經濟部115年度政策資源彙整表)比對;出現者打勾。打勾由「比對結果」分頁的對應編號自動產生,要改對應請改該分頁G欄</t>
  </si>
  <si>
    <t>比對方式</t>
  </si>
  <si>
    <t>以計畫實質內容判斷,不只看名稱;共41列政策資源,3項對應到完整版。上傳檔只含經濟部計畫,因此其他部會的列不會打勾</t>
  </si>
  <si>
    <t>分類方式</t>
  </si>
  <si>
    <t>把原先混在一起的輔導、診斷、導入補助獨立為「導入輔導與補助」,與「研發補助與投資」分開</t>
  </si>
  <si>
    <t>有截止日者以公式比對基準日判斷受理中或已截止;無截止日者為手填狀態(常態開放、未確認、已結束)</t>
  </si>
  <si>
    <t>已核對(官方)=讀取官方頁面或公告原文;部分核對=官方頁面只核對一部分,或來源為輔導顧問網站;僅媒體或二手=只有媒體、部落格、校方轉載</t>
  </si>
  <si>
    <t>補助上限</t>
  </si>
  <si>
    <t>單位萬元;定義不同(每案、每人、每家、點數),不可直接加總;統計頁只取各部會最大值</t>
  </si>
  <si>
    <t>無法讀取的來源</t>
  </si>
  <si>
    <t>產業署網頁(ida.gov.tw)與產業升級創新平台(eii.nat.gov.tw/tiip)禁止自動擷取,相關內容僅依搜尋摘要或其他頁面</t>
  </si>
  <si>
    <t>尚未納入</t>
  </si>
  <si>
    <t>上傳清單中完整版未收錄的方案見「比對結果」分頁(對應編號空白者),其中名稱或簡述提到AI的,統計頁有計數</t>
  </si>
  <si>
    <t>時效提醒</t>
  </si>
  <si>
    <t>金額與期限常調整,申請前請以各計畫官網為準</t>
  </si>
  <si>
    <r>
      <rPr>
        <b/>
        <sz val="10"/>
        <rFont val="Microsoft JhengHei"/>
        <family val="2"/>
        <charset val="136"/>
      </rPr>
      <t>115</t>
    </r>
    <r>
      <rPr>
        <b/>
        <sz val="10"/>
        <rFont val="Noto Sans CJK SC"/>
        <family val="2"/>
      </rPr>
      <t>年方案彙整分頁</t>
    </r>
  </si>
  <si>
    <t>依上傳清單(經濟部115年度政策資源彙整表)建立,欄位同「計畫總表」,另加「完整版已收錄」「完整版編號」「上傳清單列號」。完整版已有者(3項)打勾且只留名稱,其餘38項依上傳清單補齊資料</t>
  </si>
  <si>
    <t>彙整分頁的資料來源</t>
  </si>
  <si>
    <t>補助上限、期限、對象等直接取自上傳清單,尚未逐項到官網核對;已嘗試核對的4項(數位新貿易、A+STEP、數據驅動製造業、服務業AI人才培育)官網頁面未載詳細資訊,僅確認數位新貿易申請免費</t>
  </si>
  <si>
    <t>彙整分頁的類別</t>
  </si>
  <si>
    <t>上傳清單涵蓋非AI主軸的方案(如餐飲、糕餅、老店),類別沿用完整版分類但屬近似歸類;委辦/採購案獨立為「非對外公告」</t>
  </si>
  <si>
    <t>彙整分頁的上限</t>
  </si>
  <si>
    <t>金額欄寫「配合款上限」或比例而非政府款上限者,上限欄留空,原文在「上限定義」欄;多級額度者上限填最高者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</si>
</sst>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yyyy\-mm\-dd"/>
    <numFmt numFmtId="178" formatCode="#,##0;\-#,##0;0"/>
  </numFmts>
  <fonts count="17">
    <font>
      <sz val="11"/>
      <color theme="1"/>
      <name val="Calibri"/>
      <family val="2"/>
      <charset val="1"/>
    </font>
    <font>
      <b/>
      <sz val="11"/>
      <color rgb="FFFFFFFF"/>
      <name val="Noto Sans CJK SC"/>
      <family val="2"/>
      <charset val="1"/>
    </font>
    <font>
      <b/>
      <sz val="11"/>
      <color rgb="FFFFFFFF"/>
      <name val="Microsoft JhengHei"/>
      <family val="2"/>
      <charset val="136"/>
    </font>
    <font>
      <b/>
      <sz val="11"/>
      <color rgb="FFFFFFFF"/>
      <name val="Noto Sans CJK SC"/>
      <family val="2"/>
    </font>
    <font>
      <sz val="10"/>
      <name val="Microsoft JhengHei"/>
      <family val="2"/>
      <charset val="136"/>
    </font>
    <font>
      <sz val="10"/>
      <name val="Noto Sans CJK SC"/>
      <family val="2"/>
      <charset val="1"/>
    </font>
    <font>
      <sz val="10"/>
      <name val="Noto Sans CJK SC"/>
      <family val="2"/>
    </font>
    <font>
      <b/>
      <sz val="12"/>
      <color rgb="FF006100"/>
      <name val="Microsoft JhengHei"/>
      <family val="2"/>
      <charset val="136"/>
    </font>
    <font>
      <sz val="10"/>
      <color rgb="FF0000FF"/>
      <name val="Microsoft JhengHei"/>
      <family val="2"/>
      <charset val="136"/>
    </font>
    <font>
      <u/>
      <sz val="10"/>
      <color rgb="FF0563C1"/>
      <name val="Microsoft JhengHei"/>
      <family val="2"/>
      <charset val="136"/>
    </font>
    <font>
      <b/>
      <sz val="10"/>
      <color rgb="FF0000FF"/>
      <name val="Microsoft JhengHei"/>
      <family val="2"/>
      <charset val="136"/>
    </font>
    <font>
      <b/>
      <sz val="13"/>
      <name val="Noto Sans CJK SC"/>
      <family val="2"/>
      <charset val="1"/>
    </font>
    <font>
      <b/>
      <sz val="10"/>
      <name val="Noto Sans CJK SC"/>
      <family val="2"/>
      <charset val="1"/>
    </font>
    <font>
      <i/>
      <sz val="9"/>
      <name val="Noto Sans CJK SC"/>
      <family val="2"/>
      <charset val="1"/>
    </font>
    <font>
      <b/>
      <sz val="10"/>
      <name val="Microsoft JhengHei"/>
      <family val="2"/>
      <charset val="136"/>
    </font>
    <font>
      <b/>
      <sz val="10"/>
      <name val="Noto Sans CJK SC"/>
      <family val="2"/>
    </font>
    <font>
      <sz val="9"/>
      <name val="細明體"/>
      <family val="3"/>
      <charset val="136"/>
    </font>
  </fonts>
  <fills count="8">
    <fill>
      <patternFill patternType="none"/>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
      <patternFill patternType="solid">
        <fgColor rgb="FFE2EFDA"/>
        <bgColor rgb="FFDDEBF7"/>
      </patternFill>
    </fill>
    <fill>
      <patternFill patternType="solid">
        <fgColor rgb="FFDDEBF7"/>
        <bgColor rgb="FFE2EFDA"/>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4">
    <xf numFmtId="0" fontId="0" fillId="0" borderId="0" xfId="0"/>
    <xf numFmtId="0" fontId="0" fillId="0" borderId="0" xfId="0" applyAlignment="1"/>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7" fillId="0" borderId="1" xfId="0" applyFont="1" applyBorder="1" applyAlignment="1">
      <alignment horizontal="center" vertical="top" wrapText="1"/>
    </xf>
    <xf numFmtId="176" fontId="8" fillId="0" borderId="1" xfId="0" applyNumberFormat="1" applyFont="1" applyBorder="1" applyAlignment="1">
      <alignment horizontal="center" vertical="top" wrapText="1"/>
    </xf>
    <xf numFmtId="0" fontId="5" fillId="0" borderId="1" xfId="0" applyFont="1" applyBorder="1" applyAlignment="1">
      <alignment horizontal="center" vertical="top" wrapText="1"/>
    </xf>
    <xf numFmtId="177" fontId="8" fillId="0" borderId="1" xfId="0" applyNumberFormat="1" applyFont="1" applyBorder="1" applyAlignment="1">
      <alignment horizontal="center" vertical="top" wrapText="1"/>
    </xf>
    <xf numFmtId="178" fontId="4" fillId="0" borderId="1" xfId="0" applyNumberFormat="1" applyFont="1" applyBorder="1" applyAlignment="1">
      <alignment horizontal="center" vertical="top" wrapText="1"/>
    </xf>
    <xf numFmtId="0" fontId="5" fillId="3" borderId="1" xfId="0" applyFont="1" applyFill="1" applyBorder="1" applyAlignment="1">
      <alignment horizontal="center" vertical="top" wrapText="1"/>
    </xf>
    <xf numFmtId="0" fontId="9" fillId="0" borderId="1" xfId="0" applyFont="1" applyBorder="1" applyAlignment="1">
      <alignment horizontal="left" vertical="top" wrapText="1"/>
    </xf>
    <xf numFmtId="0" fontId="5" fillId="4"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5"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7" fillId="5" borderId="1" xfId="0" applyFont="1" applyFill="1" applyBorder="1" applyAlignment="1">
      <alignment horizontal="center" vertical="top" wrapText="1"/>
    </xf>
    <xf numFmtId="176" fontId="8" fillId="5" borderId="1" xfId="0" applyNumberFormat="1" applyFont="1" applyFill="1" applyBorder="1" applyAlignment="1">
      <alignment horizontal="center" vertical="top" wrapText="1"/>
    </xf>
    <xf numFmtId="177" fontId="8" fillId="5" borderId="1" xfId="0" applyNumberFormat="1" applyFont="1" applyFill="1" applyBorder="1" applyAlignment="1">
      <alignment horizontal="center" vertical="top" wrapText="1"/>
    </xf>
    <xf numFmtId="178" fontId="4" fillId="5" borderId="1" xfId="0" applyNumberFormat="1" applyFont="1" applyFill="1" applyBorder="1" applyAlignment="1">
      <alignment horizontal="center" vertical="top" wrapText="1"/>
    </xf>
    <xf numFmtId="0" fontId="5" fillId="6" borderId="1" xfId="0" applyFont="1" applyFill="1" applyBorder="1" applyAlignment="1">
      <alignment horizontal="center" vertical="top" wrapText="1"/>
    </xf>
    <xf numFmtId="0" fontId="10" fillId="5" borderId="1" xfId="0" applyFont="1" applyFill="1" applyBorder="1" applyAlignment="1">
      <alignment horizontal="center" vertical="top" wrapText="1"/>
    </xf>
    <xf numFmtId="0" fontId="10" fillId="0" borderId="1" xfId="0" applyFont="1" applyBorder="1" applyAlignment="1">
      <alignment horizontal="center" vertical="top" wrapText="1"/>
    </xf>
    <xf numFmtId="0" fontId="11" fillId="0" borderId="0" xfId="0" applyFont="1" applyAlignment="1"/>
    <xf numFmtId="0" fontId="12" fillId="0" borderId="0" xfId="0" applyFont="1" applyAlignment="1"/>
    <xf numFmtId="177" fontId="8" fillId="7" borderId="0" xfId="0" applyNumberFormat="1" applyFont="1" applyFill="1" applyAlignment="1"/>
    <xf numFmtId="0" fontId="13" fillId="0" borderId="0" xfId="0" applyFont="1" applyAlignment="1"/>
    <xf numFmtId="0" fontId="1" fillId="2" borderId="1" xfId="0" applyFont="1" applyFill="1" applyBorder="1" applyAlignment="1">
      <alignment horizontal="center"/>
    </xf>
    <xf numFmtId="0" fontId="5" fillId="0" borderId="1" xfId="0" applyFont="1" applyBorder="1" applyAlignment="1"/>
    <xf numFmtId="0" fontId="4" fillId="0" borderId="1" xfId="0" applyFont="1" applyBorder="1" applyAlignment="1"/>
    <xf numFmtId="0" fontId="12" fillId="0" borderId="1" xfId="0" applyFont="1" applyBorder="1" applyAlignment="1"/>
    <xf numFmtId="176" fontId="4" fillId="0" borderId="1" xfId="0" applyNumberFormat="1" applyFont="1" applyBorder="1" applyAlignment="1"/>
    <xf numFmtId="0" fontId="2" fillId="2" borderId="1" xfId="0" applyFont="1" applyFill="1" applyBorder="1" applyAlignment="1">
      <alignment horizontal="center"/>
    </xf>
    <xf numFmtId="0" fontId="1" fillId="2" borderId="1" xfId="0" applyFont="1" applyFill="1" applyBorder="1" applyAlignment="1">
      <alignment horizontal="center" vertical="center"/>
    </xf>
    <xf numFmtId="0" fontId="5" fillId="0" borderId="1" xfId="0" applyFont="1" applyBorder="1" applyAlignment="1">
      <alignment vertical="top" wrapText="1"/>
    </xf>
    <xf numFmtId="0" fontId="4" fillId="0" borderId="1" xfId="0" applyFont="1" applyBorder="1" applyAlignment="1">
      <alignment vertical="top" wrapText="1"/>
    </xf>
    <xf numFmtId="0" fontId="11" fillId="0" borderId="0" xfId="0" applyFont="1" applyAlignment="1">
      <alignment vertical="top" wrapText="1"/>
    </xf>
    <xf numFmtId="0" fontId="4" fillId="0" borderId="0" xfId="0" applyFont="1" applyAlignment="1">
      <alignment vertical="top" wrapText="1"/>
    </xf>
    <xf numFmtId="0" fontId="12" fillId="0" borderId="0" xfId="0" applyFont="1" applyAlignment="1">
      <alignment vertical="top" wrapText="1"/>
    </xf>
    <xf numFmtId="0" fontId="5" fillId="0" borderId="0" xfId="0" applyFont="1" applyAlignment="1">
      <alignment vertical="top" wrapText="1"/>
    </xf>
    <xf numFmtId="0" fontId="14" fillId="0" borderId="0" xfId="0" applyFont="1" applyAlignment="1">
      <alignment vertical="top" wrapText="1"/>
    </xf>
  </cellXfs>
  <cellStyles count="1">
    <cellStyle name="一般"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da.gov.tw/ctlr?PRO=news.NewsView&amp;id=43292&amp;type=Insights" TargetMode="External"/><Relationship Id="rId13" Type="http://schemas.openxmlformats.org/officeDocument/2006/relationships/hyperlink" Target="https://www.sme.gov.tw/drsme/drsme/Plan/plan_more?id=176a4cbd88b840358f46314988b1c408" TargetMode="External"/><Relationship Id="rId18" Type="http://schemas.openxmlformats.org/officeDocument/2006/relationships/hyperlink" Target="https://news.stust.edu.tw/id/91744" TargetMode="External"/><Relationship Id="rId26" Type="http://schemas.openxmlformats.org/officeDocument/2006/relationships/hyperlink" Target="https://www.1111.com.tw/news/jobns/156631" TargetMode="External"/><Relationship Id="rId3" Type="http://schemas.openxmlformats.org/officeDocument/2006/relationships/hyperlink" Target="https://service.moea.gov.tw/EE514/tw/aiip/336.html" TargetMode="External"/><Relationship Id="rId21" Type="http://schemas.openxmlformats.org/officeDocument/2006/relationships/hyperlink" Target="https://www-api.moda.gov.tw/File/Get/adi/zh-tw/owvBgtTcGlT8cjT" TargetMode="External"/><Relationship Id="rId7" Type="http://schemas.openxmlformats.org/officeDocument/2006/relationships/hyperlink" Target="https://eii.nat.gov.tw/moeai-plus/uploads/downloads/01KXHVG2BBBWKXBZ991F4NEFQD.pdf" TargetMode="External"/><Relationship Id="rId12" Type="http://schemas.openxmlformats.org/officeDocument/2006/relationships/hyperlink" Target="https://www.cio.com.tw/115430/" TargetMode="External"/><Relationship Id="rId17" Type="http://schemas.openxmlformats.org/officeDocument/2006/relationships/hyperlink" Target="https://uanalyze.com.tw/articles/1078148404" TargetMode="External"/><Relationship Id="rId25" Type="http://schemas.openxmlformats.org/officeDocument/2006/relationships/hyperlink" Target="https://www.1111.com.tw/news/jobns/157396" TargetMode="External"/><Relationship Id="rId2" Type="http://schemas.openxmlformats.org/officeDocument/2006/relationships/hyperlink" Target="https://udn.com/news/story/7240/9244366" TargetMode="External"/><Relationship Id="rId16" Type="http://schemas.openxmlformats.org/officeDocument/2006/relationships/hyperlink" Target="https://aict.nkust.edu.tw/digitrans/?cat=566" TargetMode="External"/><Relationship Id="rId20" Type="http://schemas.openxmlformats.org/officeDocument/2006/relationships/hyperlink" Target="https://www.mohw.gov.tw/cp-7283-87899-1.html" TargetMode="External"/><Relationship Id="rId1" Type="http://schemas.openxmlformats.org/officeDocument/2006/relationships/hyperlink" Target="https://www.moea.gov.tw/MNS/populace/news/News.aspx?kind=1&amp;menu_id=40&amp;news_id=120600" TargetMode="External"/><Relationship Id="rId6" Type="http://schemas.openxmlformats.org/officeDocument/2006/relationships/hyperlink" Target="https://keid.nat.gov.tw/cloud/Web/UpWebload/ACE60748-3BEA-43F0-B094-9783B1E3039B.pdf" TargetMode="External"/><Relationship Id="rId11" Type="http://schemas.openxmlformats.org/officeDocument/2006/relationships/hyperlink" Target="https://www.sme.gov.tw/article-tw-2877-13891" TargetMode="External"/><Relationship Id="rId24" Type="http://schemas.openxmlformats.org/officeDocument/2006/relationships/hyperlink" Target="https://www.ithome.com.tw/news/167005" TargetMode="External"/><Relationship Id="rId5" Type="http://schemas.openxmlformats.org/officeDocument/2006/relationships/hyperlink" Target="https://www.ida.gov.tw/ctlr?PRO=news.rwdNewsView&amp;id=43221" TargetMode="External"/><Relationship Id="rId15" Type="http://schemas.openxmlformats.org/officeDocument/2006/relationships/hyperlink" Target="https://moda.gov.tw/major-policies/ai/industry/19254" TargetMode="External"/><Relationship Id="rId23" Type="http://schemas.openxmlformats.org/officeDocument/2006/relationships/hyperlink" Target="https://www.yutuo-tech.com/blog/ai-subsidy-2026/" TargetMode="External"/><Relationship Id="rId10" Type="http://schemas.openxmlformats.org/officeDocument/2006/relationships/hyperlink" Target="https://www.moea.gov.tw/MNS/populace/news/News.aspx?kind=1&amp;menu_id=40&amp;news_id=121811" TargetMode="External"/><Relationship Id="rId19" Type="http://schemas.openxmlformats.org/officeDocument/2006/relationships/hyperlink" Target="https://news.stust.edu.tw/id/90940" TargetMode="External"/><Relationship Id="rId4" Type="http://schemas.openxmlformats.org/officeDocument/2006/relationships/hyperlink" Target="https://www.moea.gov.tw/MNS/doit/content/Content.aspx?menu_id=13392" TargetMode="External"/><Relationship Id="rId9" Type="http://schemas.openxmlformats.org/officeDocument/2006/relationships/hyperlink" Target="https://www.sme.gov.tw/caas/article-caas-3059-20513" TargetMode="External"/><Relationship Id="rId14" Type="http://schemas.openxmlformats.org/officeDocument/2006/relationships/hyperlink" Target="https://www.jfetek.com/news/6" TargetMode="External"/><Relationship Id="rId22" Type="http://schemas.openxmlformats.org/officeDocument/2006/relationships/hyperlink" Target="https://uanalyze.com.tw/articles/1078148404"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aoc.gov.tw/showPublic/599" TargetMode="External"/><Relationship Id="rId18" Type="http://schemas.openxmlformats.org/officeDocument/2006/relationships/hyperlink" Target="https://www.aoc.gov.tw/showPublic/544" TargetMode="External"/><Relationship Id="rId26" Type="http://schemas.openxmlformats.org/officeDocument/2006/relationships/hyperlink" Target="https://assist.nat.gov.tw/wSite/ct?xItem=289512&amp;ctNode=150&amp;mp=2" TargetMode="External"/><Relationship Id="rId3" Type="http://schemas.openxmlformats.org/officeDocument/2006/relationships/hyperlink" Target="https://tree.meetbao.net/2026/03/2026landing-program-2/" TargetMode="External"/><Relationship Id="rId21" Type="http://schemas.openxmlformats.org/officeDocument/2006/relationships/hyperlink" Target="https://assist.nat.gov.tw/wSite/ct?xItem=289617&amp;ctNode=150&amp;mp=2" TargetMode="External"/><Relationship Id="rId34" Type="http://schemas.openxmlformats.org/officeDocument/2006/relationships/hyperlink" Target="https://assist.nat.gov.tw/wSite/ct?xItem=289505&amp;ctNode=150&amp;mp=2" TargetMode="External"/><Relationship Id="rId7" Type="http://schemas.openxmlformats.org/officeDocument/2006/relationships/hyperlink" Target="https://www.aoc.gov.tw/showPublic/700" TargetMode="External"/><Relationship Id="rId12" Type="http://schemas.openxmlformats.org/officeDocument/2006/relationships/hyperlink" Target="https://www.aoc.gov.tw/showPublic/599" TargetMode="External"/><Relationship Id="rId17" Type="http://schemas.openxmlformats.org/officeDocument/2006/relationships/hyperlink" Target="https://www.aoc.gov.tw/showPublic/677" TargetMode="External"/><Relationship Id="rId25" Type="http://schemas.openxmlformats.org/officeDocument/2006/relationships/hyperlink" Target="https://assist.nat.gov.tw/wSite/ct?xItem=289634&amp;ctNode=150&amp;mp=2" TargetMode="External"/><Relationship Id="rId33" Type="http://schemas.openxmlformats.org/officeDocument/2006/relationships/hyperlink" Target="https://www.sme.gov.tw/article-tw-2814-14140" TargetMode="External"/><Relationship Id="rId2" Type="http://schemas.openxmlformats.org/officeDocument/2006/relationships/hyperlink" Target="https://tree.meetbao.net/2026/01/2026&#24180;&#22283;&#38555;&#37832;&#32080;&#33287;&#21830;&#26989;&#27010;&#24565;&#39511;&#35657;&#23560;&#26696;landing-program&#24501;/" TargetMode="External"/><Relationship Id="rId16" Type="http://schemas.openxmlformats.org/officeDocument/2006/relationships/hyperlink" Target="https://www.aoc.gov.tw/" TargetMode="External"/><Relationship Id="rId20" Type="http://schemas.openxmlformats.org/officeDocument/2006/relationships/hyperlink" Target="https://assist.nat.gov.tw/wSite/ct?xItem=289617&amp;ctNode=150&amp;mp=2" TargetMode="External"/><Relationship Id="rId29" Type="http://schemas.openxmlformats.org/officeDocument/2006/relationships/hyperlink" Target="https://startup.sme.gov.tw/incubator/news/68d2431cde1b4a5e8b10f76b" TargetMode="External"/><Relationship Id="rId1" Type="http://schemas.openxmlformats.org/officeDocument/2006/relationships/hyperlink" Target="https://service.moea.gov.tw/EE514/tw/aiip/147.html" TargetMode="External"/><Relationship Id="rId6" Type="http://schemas.openxmlformats.org/officeDocument/2006/relationships/hyperlink" Target="https://www.moea.gov.tw/Mns/populace/news/News.aspx?kind=2&amp;menu_id=41&amp;news_id=122129" TargetMode="External"/><Relationship Id="rId11" Type="http://schemas.openxmlformats.org/officeDocument/2006/relationships/hyperlink" Target="https://www.aoc.gov.tw/showPublic/604" TargetMode="External"/><Relationship Id="rId24" Type="http://schemas.openxmlformats.org/officeDocument/2006/relationships/hyperlink" Target="https://www.ida.gov.tw/ctlr?PRO=project.rwdProjectView&amp;id=2814" TargetMode="External"/><Relationship Id="rId32" Type="http://schemas.openxmlformats.org/officeDocument/2006/relationships/hyperlink" Target="https://www.sme.gov.tw/" TargetMode="External"/><Relationship Id="rId5" Type="http://schemas.openxmlformats.org/officeDocument/2006/relationships/hyperlink" Target="https://newtrade.aieztrade.com/" TargetMode="External"/><Relationship Id="rId15" Type="http://schemas.openxmlformats.org/officeDocument/2006/relationships/hyperlink" Target="https://www.aoc.gov.tw/showPublic/609" TargetMode="External"/><Relationship Id="rId23" Type="http://schemas.openxmlformats.org/officeDocument/2006/relationships/hyperlink" Target="https://assist.nat.gov.tw/wSite/ct?xItem=289605&amp;ctNode=150&amp;mp=2" TargetMode="External"/><Relationship Id="rId28" Type="http://schemas.openxmlformats.org/officeDocument/2006/relationships/hyperlink" Target="https://assist.nat.gov.tw/wSite/ct?xItem=289564&amp;ctNode=150&amp;mp=2" TargetMode="External"/><Relationship Id="rId10" Type="http://schemas.openxmlformats.org/officeDocument/2006/relationships/hyperlink" Target="https://www.moea.gov.tw/MNS/populace/news/News.aspx?kind=2&amp;menu_id=41&amp;news_id=122246" TargetMode="External"/><Relationship Id="rId19" Type="http://schemas.openxmlformats.org/officeDocument/2006/relationships/hyperlink" Target="https://keid.nat.gov.tw/citdweb/Web/index.aspx" TargetMode="External"/><Relationship Id="rId31" Type="http://schemas.openxmlformats.org/officeDocument/2006/relationships/hyperlink" Target="https://www.sme.gov.tw/article-tw-2275-14428" TargetMode="External"/><Relationship Id="rId4" Type="http://schemas.openxmlformats.org/officeDocument/2006/relationships/hyperlink" Target="https://www.aieztrade.com/" TargetMode="External"/><Relationship Id="rId9" Type="http://schemas.openxmlformats.org/officeDocument/2006/relationships/hyperlink" Target="https://www.moea.gov.tw/MNS/populace/news/News.aspx?kind=2&amp;menu_id=41&amp;news_id=122246" TargetMode="External"/><Relationship Id="rId14" Type="http://schemas.openxmlformats.org/officeDocument/2006/relationships/hyperlink" Target="https://www.aoc.gov.tw/showPublic/608" TargetMode="External"/><Relationship Id="rId22" Type="http://schemas.openxmlformats.org/officeDocument/2006/relationships/hyperlink" Target="https://assist.nat.gov.tw/wSite/ct?xItem=289529&amp;ctNode=150&amp;mp=2" TargetMode="External"/><Relationship Id="rId27" Type="http://schemas.openxmlformats.org/officeDocument/2006/relationships/hyperlink" Target="https://assist.nat.gov.tw/wSite/ct?xItem=289511&amp;ctNode=150&amp;mp=2" TargetMode="External"/><Relationship Id="rId30" Type="http://schemas.openxmlformats.org/officeDocument/2006/relationships/hyperlink" Target="https://sbir.org.tw/news/main_content?id=12253&amp;page=5" TargetMode="External"/><Relationship Id="rId35" Type="http://schemas.openxmlformats.org/officeDocument/2006/relationships/hyperlink" Target="https://www.sme.gov.tw/" TargetMode="External"/><Relationship Id="rId8" Type="http://schemas.openxmlformats.org/officeDocument/2006/relationships/hyperlink" Target="https://www.moea.gov.tw/MNS/populace/news/News.aspx?kind=2&amp;menu_id=41&amp;news_id=1222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7"/>
  <sheetViews>
    <sheetView tabSelected="1" zoomScaleNormal="100" workbookViewId="0">
      <pane ySplit="1" topLeftCell="A2" activePane="bottomLeft" state="frozen"/>
      <selection pane="bottomLeft" activeCell="G7" sqref="G7"/>
    </sheetView>
  </sheetViews>
  <sheetFormatPr defaultColWidth="8.7109375" defaultRowHeight="15"/>
  <cols>
    <col min="1" max="1" width="5" style="1" customWidth="1"/>
    <col min="2" max="2" width="13" style="1" customWidth="1"/>
    <col min="3" max="3" width="14" style="1" customWidth="1"/>
    <col min="4" max="4" width="11" style="1" customWidth="1"/>
    <col min="5" max="5" width="16" style="1" customWidth="1"/>
    <col min="6" max="6" width="30" style="1" customWidth="1"/>
    <col min="7" max="7" width="14" style="1" customWidth="1"/>
    <col min="8" max="8" width="40" style="1" customWidth="1"/>
    <col min="9" max="9" width="11" style="1" customWidth="1"/>
    <col min="10" max="10" width="32" style="1" customWidth="1"/>
    <col min="11" max="11" width="12" style="1" customWidth="1"/>
    <col min="12" max="12" width="24" style="1" customWidth="1"/>
    <col min="13" max="13" width="11" style="1" customWidth="1"/>
    <col min="14" max="14" width="12" style="1" customWidth="1"/>
    <col min="15" max="15" width="34" style="1" customWidth="1"/>
    <col min="16" max="16" width="14" style="1" customWidth="1"/>
    <col min="17" max="17" width="10" style="1" customWidth="1"/>
    <col min="18" max="18" width="9" style="1" customWidth="1"/>
    <col min="19" max="19" width="12" style="1" customWidth="1"/>
    <col min="20" max="20" width="48" style="1" customWidth="1"/>
    <col min="21" max="21" width="36" style="1" customWidth="1"/>
  </cols>
  <sheetData>
    <row r="1" spans="1:21" ht="31.5" customHeight="1">
      <c r="A1" s="2" t="s">
        <v>0</v>
      </c>
      <c r="B1" s="2" t="s">
        <v>1</v>
      </c>
      <c r="C1" s="2" t="s">
        <v>2</v>
      </c>
      <c r="D1" s="2" t="s">
        <v>3</v>
      </c>
      <c r="E1" s="2" t="s">
        <v>4</v>
      </c>
      <c r="F1" s="2" t="s">
        <v>5</v>
      </c>
      <c r="G1" s="3"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ht="43.5" customHeight="1">
      <c r="A2" s="4">
        <v>1</v>
      </c>
      <c r="B2" s="5" t="s">
        <v>21</v>
      </c>
      <c r="C2" s="5" t="s">
        <v>22</v>
      </c>
      <c r="D2" s="5" t="s">
        <v>23</v>
      </c>
      <c r="E2" s="5" t="s">
        <v>24</v>
      </c>
      <c r="F2" s="6" t="s">
        <v>25</v>
      </c>
      <c r="G2" s="7" t="str">
        <f>IF(COUNTIF(比對結果!$G$2:$G$80,A2)&gt;0,"✓","")</f>
        <v/>
      </c>
      <c r="H2" s="5" t="s">
        <v>26</v>
      </c>
      <c r="I2" s="8">
        <v>3000</v>
      </c>
      <c r="J2" s="5" t="s">
        <v>27</v>
      </c>
      <c r="K2" s="5" t="s">
        <v>28</v>
      </c>
      <c r="L2" s="5" t="s">
        <v>29</v>
      </c>
      <c r="M2" s="9" t="s">
        <v>30</v>
      </c>
      <c r="N2" s="10">
        <v>45989</v>
      </c>
      <c r="O2" s="6" t="s">
        <v>31</v>
      </c>
      <c r="P2" s="6"/>
      <c r="Q2" s="4" t="str">
        <f>IF(ISNUMBER(N2),IF(N2&lt;統計!$B$2,"已截止","受理中"),P2)</f>
        <v>已截止</v>
      </c>
      <c r="R2" s="11">
        <f>IF(ISNUMBER(N2),N2-統計!$B$2,"")</f>
        <v>-326</v>
      </c>
      <c r="S2" s="12" t="s">
        <v>32</v>
      </c>
      <c r="T2" s="5" t="s">
        <v>33</v>
      </c>
      <c r="U2" s="13" t="s">
        <v>34</v>
      </c>
    </row>
    <row r="3" spans="1:21" ht="41.25" customHeight="1">
      <c r="A3" s="4">
        <v>2</v>
      </c>
      <c r="B3" s="5" t="s">
        <v>21</v>
      </c>
      <c r="C3" s="5" t="s">
        <v>22</v>
      </c>
      <c r="D3" s="5" t="s">
        <v>23</v>
      </c>
      <c r="E3" s="5" t="s">
        <v>24</v>
      </c>
      <c r="F3" s="6" t="s">
        <v>35</v>
      </c>
      <c r="G3" s="7" t="str">
        <f>IF(COUNTIF(比對結果!$G$2:$G$80,A3)&gt;0,"✓","")</f>
        <v/>
      </c>
      <c r="H3" s="6" t="s">
        <v>36</v>
      </c>
      <c r="I3" s="8"/>
      <c r="J3" s="5" t="s">
        <v>37</v>
      </c>
      <c r="K3" s="5" t="s">
        <v>38</v>
      </c>
      <c r="L3" s="5" t="s">
        <v>39</v>
      </c>
      <c r="M3" s="9" t="s">
        <v>30</v>
      </c>
      <c r="N3" s="10"/>
      <c r="O3" s="5" t="s">
        <v>40</v>
      </c>
      <c r="P3" s="5" t="s">
        <v>41</v>
      </c>
      <c r="Q3" s="4" t="str">
        <f>IF(ISNUMBER(N3),IF(N3&lt;統計!$B$2,"已截止","受理中"),P3)</f>
        <v>未確認</v>
      </c>
      <c r="R3" s="11" t="str">
        <f>IF(ISNUMBER(N3),N3-統計!$B$2,"")</f>
        <v/>
      </c>
      <c r="S3" s="14" t="s">
        <v>42</v>
      </c>
      <c r="T3" s="5" t="s">
        <v>43</v>
      </c>
      <c r="U3" s="13" t="s">
        <v>44</v>
      </c>
    </row>
    <row r="4" spans="1:21" ht="43.5" customHeight="1">
      <c r="A4" s="4">
        <v>3</v>
      </c>
      <c r="B4" s="5" t="s">
        <v>21</v>
      </c>
      <c r="C4" s="5" t="s">
        <v>22</v>
      </c>
      <c r="D4" s="5" t="s">
        <v>23</v>
      </c>
      <c r="E4" s="5" t="s">
        <v>24</v>
      </c>
      <c r="F4" s="6" t="s">
        <v>45</v>
      </c>
      <c r="G4" s="7" t="str">
        <f>IF(COUNTIF(比對結果!$G$2:$G$80,A4)&gt;0,"✓","")</f>
        <v/>
      </c>
      <c r="H4" s="6" t="s">
        <v>46</v>
      </c>
      <c r="I4" s="8"/>
      <c r="J4" s="5" t="s">
        <v>47</v>
      </c>
      <c r="K4" s="5" t="s">
        <v>28</v>
      </c>
      <c r="L4" s="6" t="s">
        <v>48</v>
      </c>
      <c r="M4" s="9" t="s">
        <v>49</v>
      </c>
      <c r="N4" s="10">
        <v>46112</v>
      </c>
      <c r="O4" s="6" t="s">
        <v>50</v>
      </c>
      <c r="P4" s="6"/>
      <c r="Q4" s="4" t="str">
        <f>IF(ISNUMBER(N4),IF(N4&lt;統計!$B$2,"已截止","受理中"),P4)</f>
        <v>已截止</v>
      </c>
      <c r="R4" s="11">
        <f>IF(ISNUMBER(N4),N4-統計!$B$2,"")</f>
        <v>-203</v>
      </c>
      <c r="S4" s="12" t="s">
        <v>32</v>
      </c>
      <c r="T4" s="5" t="s">
        <v>51</v>
      </c>
      <c r="U4" s="13" t="s">
        <v>52</v>
      </c>
    </row>
    <row r="5" spans="1:21" ht="29.25" customHeight="1">
      <c r="A5" s="4">
        <v>4</v>
      </c>
      <c r="B5" s="5" t="s">
        <v>21</v>
      </c>
      <c r="C5" s="5" t="s">
        <v>22</v>
      </c>
      <c r="D5" s="5" t="s">
        <v>23</v>
      </c>
      <c r="E5" s="5" t="s">
        <v>24</v>
      </c>
      <c r="F5" s="5" t="s">
        <v>53</v>
      </c>
      <c r="G5" s="7" t="str">
        <f>IF(COUNTIF(比對結果!$G$2:$G$80,A5)&gt;0,"✓","")</f>
        <v/>
      </c>
      <c r="H5" s="5" t="s">
        <v>54</v>
      </c>
      <c r="I5" s="8"/>
      <c r="J5" s="5" t="s">
        <v>55</v>
      </c>
      <c r="K5" s="5" t="s">
        <v>28</v>
      </c>
      <c r="L5" s="5" t="s">
        <v>56</v>
      </c>
      <c r="M5" s="9" t="s">
        <v>49</v>
      </c>
      <c r="N5" s="10"/>
      <c r="O5" s="5" t="s">
        <v>55</v>
      </c>
      <c r="P5" s="5" t="s">
        <v>41</v>
      </c>
      <c r="Q5" s="4" t="str">
        <f>IF(ISNUMBER(N5),IF(N5&lt;統計!$B$2,"已截止","受理中"),P5)</f>
        <v>未確認</v>
      </c>
      <c r="R5" s="11" t="str">
        <f>IF(ISNUMBER(N5),N5-統計!$B$2,"")</f>
        <v/>
      </c>
      <c r="S5" s="14" t="s">
        <v>42</v>
      </c>
      <c r="T5" s="5" t="s">
        <v>57</v>
      </c>
      <c r="U5" s="13" t="s">
        <v>58</v>
      </c>
    </row>
    <row r="6" spans="1:21" ht="29.25" customHeight="1">
      <c r="A6" s="4">
        <v>5</v>
      </c>
      <c r="B6" s="5" t="s">
        <v>21</v>
      </c>
      <c r="C6" s="5" t="s">
        <v>22</v>
      </c>
      <c r="D6" s="5" t="s">
        <v>23</v>
      </c>
      <c r="E6" s="5" t="s">
        <v>59</v>
      </c>
      <c r="F6" s="5" t="s">
        <v>60</v>
      </c>
      <c r="G6" s="7" t="str">
        <f>IF(COUNTIF(比對結果!$G$2:$G$80,A6)&gt;0,"✓","")</f>
        <v/>
      </c>
      <c r="H6" s="5" t="s">
        <v>61</v>
      </c>
      <c r="I6" s="8"/>
      <c r="J6" s="5" t="s">
        <v>62</v>
      </c>
      <c r="K6" s="5" t="s">
        <v>28</v>
      </c>
      <c r="L6" s="5" t="s">
        <v>41</v>
      </c>
      <c r="M6" s="9" t="s">
        <v>41</v>
      </c>
      <c r="N6" s="10">
        <v>46203</v>
      </c>
      <c r="O6" s="5" t="s">
        <v>63</v>
      </c>
      <c r="P6" s="6"/>
      <c r="Q6" s="4" t="str">
        <f>IF(ISNUMBER(N6),IF(N6&lt;統計!$B$2,"已截止","受理中"),P6)</f>
        <v>已截止</v>
      </c>
      <c r="R6" s="11">
        <f>IF(ISNUMBER(N6),N6-統計!$B$2,"")</f>
        <v>-112</v>
      </c>
      <c r="S6" s="12" t="s">
        <v>32</v>
      </c>
      <c r="T6" s="5" t="s">
        <v>64</v>
      </c>
      <c r="U6" s="13" t="s">
        <v>65</v>
      </c>
    </row>
    <row r="7" spans="1:21" ht="55.5" customHeight="1">
      <c r="A7" s="4">
        <v>6</v>
      </c>
      <c r="B7" s="5" t="s">
        <v>21</v>
      </c>
      <c r="C7" s="5" t="s">
        <v>22</v>
      </c>
      <c r="D7" s="5" t="s">
        <v>23</v>
      </c>
      <c r="E7" s="5" t="s">
        <v>66</v>
      </c>
      <c r="F7" s="5" t="s">
        <v>67</v>
      </c>
      <c r="G7" s="7" t="str">
        <f>IF(COUNTIF(比對結果!$G$2:$G$80,A7)&gt;0,"✓","")</f>
        <v>✓</v>
      </c>
      <c r="H7" s="5" t="s">
        <v>68</v>
      </c>
      <c r="I7" s="8">
        <v>1500</v>
      </c>
      <c r="J7" s="5" t="s">
        <v>69</v>
      </c>
      <c r="K7" s="5" t="s">
        <v>28</v>
      </c>
      <c r="L7" s="5" t="s">
        <v>70</v>
      </c>
      <c r="M7" s="9" t="s">
        <v>49</v>
      </c>
      <c r="N7" s="10">
        <v>46146</v>
      </c>
      <c r="O7" s="5" t="s">
        <v>71</v>
      </c>
      <c r="P7" s="6"/>
      <c r="Q7" s="4" t="str">
        <f>IF(ISNUMBER(N7),IF(N7&lt;統計!$B$2,"已截止","受理中"),P7)</f>
        <v>已截止</v>
      </c>
      <c r="R7" s="11">
        <f>IF(ISNUMBER(N7),N7-統計!$B$2,"")</f>
        <v>-169</v>
      </c>
      <c r="S7" s="15" t="s">
        <v>72</v>
      </c>
      <c r="T7" s="5" t="s">
        <v>73</v>
      </c>
      <c r="U7" s="13" t="s">
        <v>74</v>
      </c>
    </row>
    <row r="8" spans="1:21" ht="57.75" customHeight="1">
      <c r="A8" s="4">
        <v>7</v>
      </c>
      <c r="B8" s="5" t="s">
        <v>21</v>
      </c>
      <c r="C8" s="5" t="s">
        <v>75</v>
      </c>
      <c r="D8" s="5" t="s">
        <v>23</v>
      </c>
      <c r="E8" s="5" t="s">
        <v>59</v>
      </c>
      <c r="F8" s="5" t="s">
        <v>76</v>
      </c>
      <c r="G8" s="7" t="str">
        <f>IF(COUNTIF(比對結果!$G$2:$G$80,A8)&gt;0,"✓","")</f>
        <v/>
      </c>
      <c r="H8" s="5" t="s">
        <v>77</v>
      </c>
      <c r="I8" s="8">
        <v>500</v>
      </c>
      <c r="J8" s="5" t="s">
        <v>78</v>
      </c>
      <c r="K8" s="5" t="s">
        <v>79</v>
      </c>
      <c r="L8" s="5" t="s">
        <v>80</v>
      </c>
      <c r="M8" s="9" t="s">
        <v>30</v>
      </c>
      <c r="N8" s="10"/>
      <c r="O8" s="5" t="s">
        <v>81</v>
      </c>
      <c r="P8" s="5" t="s">
        <v>82</v>
      </c>
      <c r="Q8" s="4" t="str">
        <f>IF(ISNUMBER(N8),IF(N8&lt;統計!$B$2,"已截止","受理中"),P8)</f>
        <v>常態開放</v>
      </c>
      <c r="R8" s="11" t="str">
        <f>IF(ISNUMBER(N8),N8-統計!$B$2,"")</f>
        <v/>
      </c>
      <c r="S8" s="12" t="s">
        <v>32</v>
      </c>
      <c r="T8" s="6" t="s">
        <v>83</v>
      </c>
      <c r="U8" s="13" t="s">
        <v>84</v>
      </c>
    </row>
    <row r="9" spans="1:21" ht="43.5" customHeight="1">
      <c r="A9" s="4">
        <v>8</v>
      </c>
      <c r="B9" s="5" t="s">
        <v>21</v>
      </c>
      <c r="C9" s="5" t="s">
        <v>85</v>
      </c>
      <c r="D9" s="5" t="s">
        <v>23</v>
      </c>
      <c r="E9" s="5" t="s">
        <v>59</v>
      </c>
      <c r="F9" s="5" t="s">
        <v>86</v>
      </c>
      <c r="G9" s="7" t="str">
        <f>IF(COUNTIF(比對結果!$G$2:$G$80,A9)&gt;0,"✓","")</f>
        <v/>
      </c>
      <c r="H9" s="5" t="s">
        <v>87</v>
      </c>
      <c r="I9" s="8">
        <v>10</v>
      </c>
      <c r="J9" s="5" t="s">
        <v>88</v>
      </c>
      <c r="K9" s="5" t="s">
        <v>89</v>
      </c>
      <c r="L9" s="5" t="s">
        <v>90</v>
      </c>
      <c r="M9" s="9" t="s">
        <v>30</v>
      </c>
      <c r="N9" s="10">
        <v>46711</v>
      </c>
      <c r="O9" s="5" t="s">
        <v>91</v>
      </c>
      <c r="P9" s="6"/>
      <c r="Q9" s="4" t="str">
        <f>IF(ISNUMBER(N9),IF(N9&lt;統計!$B$2,"已截止","受理中"),P9)</f>
        <v>受理中</v>
      </c>
      <c r="R9" s="11">
        <f>IF(ISNUMBER(N9),N9-統計!$B$2,"")</f>
        <v>396</v>
      </c>
      <c r="S9" s="12" t="s">
        <v>32</v>
      </c>
      <c r="T9" s="5" t="s">
        <v>92</v>
      </c>
      <c r="U9" s="13" t="s">
        <v>93</v>
      </c>
    </row>
    <row r="10" spans="1:21" ht="43.5" customHeight="1">
      <c r="A10" s="4">
        <v>9</v>
      </c>
      <c r="B10" s="5" t="s">
        <v>21</v>
      </c>
      <c r="C10" s="5" t="s">
        <v>85</v>
      </c>
      <c r="D10" s="5" t="s">
        <v>23</v>
      </c>
      <c r="E10" s="5" t="s">
        <v>66</v>
      </c>
      <c r="F10" s="5" t="s">
        <v>94</v>
      </c>
      <c r="G10" s="7" t="str">
        <f>IF(COUNTIF(比對結果!$G$2:$G$80,A10)&gt;0,"✓","")</f>
        <v/>
      </c>
      <c r="H10" s="5" t="s">
        <v>95</v>
      </c>
      <c r="I10" s="8">
        <v>15</v>
      </c>
      <c r="J10" s="5" t="s">
        <v>96</v>
      </c>
      <c r="K10" s="5" t="s">
        <v>97</v>
      </c>
      <c r="L10" s="5" t="s">
        <v>70</v>
      </c>
      <c r="M10" s="9" t="s">
        <v>49</v>
      </c>
      <c r="N10" s="10"/>
      <c r="O10" s="5" t="s">
        <v>98</v>
      </c>
      <c r="P10" s="5" t="s">
        <v>99</v>
      </c>
      <c r="Q10" s="4" t="str">
        <f>IF(ISNUMBER(N10),IF(N10&lt;統計!$B$2,"已截止","受理中"),P10)</f>
        <v>未確認(可能已用罄)</v>
      </c>
      <c r="R10" s="11" t="str">
        <f>IF(ISNUMBER(N10),N10-統計!$B$2,"")</f>
        <v/>
      </c>
      <c r="S10" s="12" t="s">
        <v>32</v>
      </c>
      <c r="T10" s="5" t="s">
        <v>100</v>
      </c>
      <c r="U10" s="13" t="s">
        <v>101</v>
      </c>
    </row>
    <row r="11" spans="1:21" ht="43.5" customHeight="1">
      <c r="A11" s="4">
        <v>10</v>
      </c>
      <c r="B11" s="5" t="s">
        <v>21</v>
      </c>
      <c r="C11" s="5" t="s">
        <v>75</v>
      </c>
      <c r="D11" s="5" t="s">
        <v>23</v>
      </c>
      <c r="E11" s="5" t="s">
        <v>102</v>
      </c>
      <c r="F11" s="5" t="s">
        <v>103</v>
      </c>
      <c r="G11" s="7" t="str">
        <f>IF(COUNTIF(比對結果!$G$2:$G$80,A11)&gt;0,"✓","")</f>
        <v/>
      </c>
      <c r="H11" s="6" t="s">
        <v>104</v>
      </c>
      <c r="I11" s="8">
        <v>350</v>
      </c>
      <c r="J11" s="5" t="s">
        <v>105</v>
      </c>
      <c r="K11" s="5" t="s">
        <v>106</v>
      </c>
      <c r="L11" s="5" t="s">
        <v>107</v>
      </c>
      <c r="M11" s="9" t="s">
        <v>49</v>
      </c>
      <c r="N11" s="10">
        <v>46091</v>
      </c>
      <c r="O11" s="5" t="s">
        <v>108</v>
      </c>
      <c r="P11" s="6"/>
      <c r="Q11" s="4" t="str">
        <f>IF(ISNUMBER(N11),IF(N11&lt;統計!$B$2,"已截止","受理中"),P11)</f>
        <v>已截止</v>
      </c>
      <c r="R11" s="11">
        <f>IF(ISNUMBER(N11),N11-統計!$B$2,"")</f>
        <v>-224</v>
      </c>
      <c r="S11" s="15" t="s">
        <v>72</v>
      </c>
      <c r="T11" s="5" t="s">
        <v>109</v>
      </c>
      <c r="U11" s="13" t="s">
        <v>110</v>
      </c>
    </row>
    <row r="12" spans="1:21" ht="29.25" customHeight="1">
      <c r="A12" s="4">
        <v>11</v>
      </c>
      <c r="B12" s="5" t="s">
        <v>21</v>
      </c>
      <c r="C12" s="5" t="s">
        <v>75</v>
      </c>
      <c r="D12" s="5" t="s">
        <v>23</v>
      </c>
      <c r="E12" s="5" t="s">
        <v>111</v>
      </c>
      <c r="F12" s="5" t="s">
        <v>112</v>
      </c>
      <c r="G12" s="7" t="str">
        <f>IF(COUNTIF(比對結果!$G$2:$G$80,A12)&gt;0,"✓","")</f>
        <v/>
      </c>
      <c r="H12" s="5" t="s">
        <v>113</v>
      </c>
      <c r="I12" s="8"/>
      <c r="J12" s="5" t="s">
        <v>114</v>
      </c>
      <c r="K12" s="5" t="s">
        <v>115</v>
      </c>
      <c r="L12" s="5" t="s">
        <v>116</v>
      </c>
      <c r="M12" s="9" t="s">
        <v>30</v>
      </c>
      <c r="N12" s="10"/>
      <c r="O12" s="5" t="s">
        <v>117</v>
      </c>
      <c r="P12" s="5" t="s">
        <v>41</v>
      </c>
      <c r="Q12" s="4" t="str">
        <f>IF(ISNUMBER(N12),IF(N12&lt;統計!$B$2,"已截止","受理中"),P12)</f>
        <v>未確認</v>
      </c>
      <c r="R12" s="11" t="str">
        <f>IF(ISNUMBER(N12),N12-統計!$B$2,"")</f>
        <v/>
      </c>
      <c r="S12" s="12" t="s">
        <v>32</v>
      </c>
      <c r="T12" s="5" t="s">
        <v>118</v>
      </c>
      <c r="U12" s="13" t="s">
        <v>119</v>
      </c>
    </row>
    <row r="13" spans="1:21" ht="43.5" customHeight="1">
      <c r="A13" s="4">
        <v>12</v>
      </c>
      <c r="B13" s="5" t="s">
        <v>21</v>
      </c>
      <c r="C13" s="5" t="s">
        <v>75</v>
      </c>
      <c r="D13" s="5" t="s">
        <v>23</v>
      </c>
      <c r="E13" s="5" t="s">
        <v>120</v>
      </c>
      <c r="F13" s="5" t="s">
        <v>121</v>
      </c>
      <c r="G13" s="7" t="str">
        <f>IF(COUNTIF(比對結果!$G$2:$G$80,A13)&gt;0,"✓","")</f>
        <v/>
      </c>
      <c r="H13" s="5" t="s">
        <v>122</v>
      </c>
      <c r="I13" s="8">
        <v>2000</v>
      </c>
      <c r="J13" s="5" t="s">
        <v>123</v>
      </c>
      <c r="K13" s="5" t="s">
        <v>89</v>
      </c>
      <c r="L13" s="5" t="s">
        <v>124</v>
      </c>
      <c r="M13" s="9" t="s">
        <v>30</v>
      </c>
      <c r="N13" s="10">
        <v>46680</v>
      </c>
      <c r="O13" s="5" t="s">
        <v>125</v>
      </c>
      <c r="P13" s="6"/>
      <c r="Q13" s="4" t="str">
        <f>IF(ISNUMBER(N13),IF(N13&lt;統計!$B$2,"已截止","受理中"),P13)</f>
        <v>受理中</v>
      </c>
      <c r="R13" s="11">
        <f>IF(ISNUMBER(N13),N13-統計!$B$2,"")</f>
        <v>365</v>
      </c>
      <c r="S13" s="12" t="s">
        <v>32</v>
      </c>
      <c r="T13" s="6" t="s">
        <v>126</v>
      </c>
      <c r="U13" s="13" t="s">
        <v>127</v>
      </c>
    </row>
    <row r="14" spans="1:21" ht="86.25" customHeight="1">
      <c r="A14" s="4">
        <v>13</v>
      </c>
      <c r="B14" s="5" t="s">
        <v>21</v>
      </c>
      <c r="C14" s="5" t="s">
        <v>85</v>
      </c>
      <c r="D14" s="5" t="s">
        <v>23</v>
      </c>
      <c r="E14" s="5" t="s">
        <v>102</v>
      </c>
      <c r="F14" s="6" t="s">
        <v>128</v>
      </c>
      <c r="G14" s="7" t="str">
        <f>IF(COUNTIF(比對結果!$G$2:$G$80,A14)&gt;0,"✓","")</f>
        <v>✓</v>
      </c>
      <c r="H14" s="5" t="s">
        <v>129</v>
      </c>
      <c r="I14" s="8"/>
      <c r="J14" s="5" t="s">
        <v>130</v>
      </c>
      <c r="K14" s="5" t="s">
        <v>131</v>
      </c>
      <c r="L14" s="5" t="s">
        <v>132</v>
      </c>
      <c r="M14" s="9" t="s">
        <v>30</v>
      </c>
      <c r="N14" s="10"/>
      <c r="O14" s="5" t="s">
        <v>82</v>
      </c>
      <c r="P14" s="5" t="s">
        <v>82</v>
      </c>
      <c r="Q14" s="4" t="str">
        <f>IF(ISNUMBER(N14),IF(N14&lt;統計!$B$2,"已截止","受理中"),P14)</f>
        <v>常態開放</v>
      </c>
      <c r="R14" s="11" t="str">
        <f>IF(ISNUMBER(N14),N14-統計!$B$2,"")</f>
        <v/>
      </c>
      <c r="S14" s="12" t="s">
        <v>32</v>
      </c>
      <c r="T14" s="5" t="s">
        <v>133</v>
      </c>
      <c r="U14" s="13" t="s">
        <v>134</v>
      </c>
    </row>
    <row r="15" spans="1:21" ht="57.75" customHeight="1">
      <c r="A15" s="4">
        <v>14</v>
      </c>
      <c r="B15" s="5" t="s">
        <v>135</v>
      </c>
      <c r="C15" s="5" t="s">
        <v>22</v>
      </c>
      <c r="D15" s="5" t="s">
        <v>136</v>
      </c>
      <c r="E15" s="5" t="s">
        <v>137</v>
      </c>
      <c r="F15" s="6" t="s">
        <v>138</v>
      </c>
      <c r="G15" s="7" t="str">
        <f>IF(COUNTIF(比對結果!$G$2:$G$80,A15)&gt;0,"✓","")</f>
        <v>✓</v>
      </c>
      <c r="H15" s="5" t="s">
        <v>139</v>
      </c>
      <c r="I15" s="8">
        <v>2000</v>
      </c>
      <c r="J15" s="6" t="s">
        <v>140</v>
      </c>
      <c r="K15" s="5" t="s">
        <v>28</v>
      </c>
      <c r="L15" s="5" t="s">
        <v>141</v>
      </c>
      <c r="M15" s="9" t="s">
        <v>49</v>
      </c>
      <c r="N15" s="10">
        <v>46227</v>
      </c>
      <c r="O15" s="5" t="s">
        <v>142</v>
      </c>
      <c r="P15" s="6"/>
      <c r="Q15" s="4" t="str">
        <f>IF(ISNUMBER(N15),IF(N15&lt;統計!$B$2,"已截止","受理中"),P15)</f>
        <v>已截止</v>
      </c>
      <c r="R15" s="11">
        <f>IF(ISNUMBER(N15),N15-統計!$B$2,"")</f>
        <v>-88</v>
      </c>
      <c r="S15" s="12" t="s">
        <v>32</v>
      </c>
      <c r="T15" s="5" t="s">
        <v>143</v>
      </c>
      <c r="U15" s="13" t="s">
        <v>144</v>
      </c>
    </row>
    <row r="16" spans="1:21" ht="29.25" customHeight="1">
      <c r="A16" s="4">
        <v>15</v>
      </c>
      <c r="B16" s="5" t="s">
        <v>135</v>
      </c>
      <c r="C16" s="5" t="s">
        <v>22</v>
      </c>
      <c r="D16" s="5" t="s">
        <v>136</v>
      </c>
      <c r="E16" s="5" t="s">
        <v>137</v>
      </c>
      <c r="F16" s="6" t="s">
        <v>145</v>
      </c>
      <c r="G16" s="7" t="str">
        <f>IF(COUNTIF(比對結果!$G$2:$G$80,A16)&gt;0,"✓","")</f>
        <v/>
      </c>
      <c r="H16" s="5" t="s">
        <v>146</v>
      </c>
      <c r="I16" s="8">
        <v>2000</v>
      </c>
      <c r="J16" s="6" t="s">
        <v>147</v>
      </c>
      <c r="K16" s="5" t="s">
        <v>28</v>
      </c>
      <c r="L16" s="5" t="s">
        <v>39</v>
      </c>
      <c r="M16" s="9" t="s">
        <v>30</v>
      </c>
      <c r="N16" s="10"/>
      <c r="O16" s="5" t="s">
        <v>148</v>
      </c>
      <c r="P16" s="5" t="s">
        <v>149</v>
      </c>
      <c r="Q16" s="4" t="str">
        <f>IF(ISNUMBER(N16),IF(N16&lt;統計!$B$2,"已截止","受理中"),P16)</f>
        <v>已結束</v>
      </c>
      <c r="R16" s="11" t="str">
        <f>IF(ISNUMBER(N16),N16-統計!$B$2,"")</f>
        <v/>
      </c>
      <c r="S16" s="12" t="s">
        <v>32</v>
      </c>
      <c r="T16" s="5" t="s">
        <v>150</v>
      </c>
      <c r="U16" s="13" t="s">
        <v>151</v>
      </c>
    </row>
    <row r="17" spans="1:21" ht="29.25" customHeight="1">
      <c r="A17" s="4">
        <v>16</v>
      </c>
      <c r="B17" s="5" t="s">
        <v>135</v>
      </c>
      <c r="C17" s="5" t="s">
        <v>75</v>
      </c>
      <c r="D17" s="5" t="s">
        <v>136</v>
      </c>
      <c r="E17" s="5" t="s">
        <v>152</v>
      </c>
      <c r="F17" s="5" t="s">
        <v>153</v>
      </c>
      <c r="G17" s="7" t="str">
        <f>IF(COUNTIF(比對結果!$G$2:$G$80,A17)&gt;0,"✓","")</f>
        <v/>
      </c>
      <c r="H17" s="5" t="s">
        <v>154</v>
      </c>
      <c r="I17" s="8"/>
      <c r="J17" s="5" t="s">
        <v>55</v>
      </c>
      <c r="K17" s="5" t="s">
        <v>155</v>
      </c>
      <c r="L17" s="5" t="s">
        <v>116</v>
      </c>
      <c r="M17" s="9" t="s">
        <v>30</v>
      </c>
      <c r="N17" s="10"/>
      <c r="O17" s="5" t="s">
        <v>55</v>
      </c>
      <c r="P17" s="5" t="s">
        <v>41</v>
      </c>
      <c r="Q17" s="4" t="str">
        <f>IF(ISNUMBER(N17),IF(N17&lt;統計!$B$2,"已截止","受理中"),P17)</f>
        <v>未確認</v>
      </c>
      <c r="R17" s="11" t="str">
        <f>IF(ISNUMBER(N17),N17-統計!$B$2,"")</f>
        <v/>
      </c>
      <c r="S17" s="14" t="s">
        <v>42</v>
      </c>
      <c r="T17" s="5" t="s">
        <v>156</v>
      </c>
      <c r="U17" s="13" t="s">
        <v>157</v>
      </c>
    </row>
    <row r="18" spans="1:21" ht="29.25" customHeight="1">
      <c r="A18" s="4">
        <v>17</v>
      </c>
      <c r="B18" s="5" t="s">
        <v>135</v>
      </c>
      <c r="C18" s="5" t="s">
        <v>22</v>
      </c>
      <c r="D18" s="5" t="s">
        <v>136</v>
      </c>
      <c r="E18" s="5" t="s">
        <v>136</v>
      </c>
      <c r="F18" s="5" t="s">
        <v>158</v>
      </c>
      <c r="G18" s="7" t="str">
        <f>IF(COUNTIF(比對結果!$G$2:$G$80,A18)&gt;0,"✓","")</f>
        <v/>
      </c>
      <c r="H18" s="6" t="s">
        <v>159</v>
      </c>
      <c r="I18" s="8"/>
      <c r="J18" s="5" t="s">
        <v>160</v>
      </c>
      <c r="K18" s="5" t="s">
        <v>161</v>
      </c>
      <c r="L18" s="6" t="s">
        <v>162</v>
      </c>
      <c r="M18" s="9" t="s">
        <v>49</v>
      </c>
      <c r="N18" s="10"/>
      <c r="O18" s="5" t="s">
        <v>55</v>
      </c>
      <c r="P18" s="5" t="s">
        <v>41</v>
      </c>
      <c r="Q18" s="4" t="str">
        <f>IF(ISNUMBER(N18),IF(N18&lt;統計!$B$2,"已截止","受理中"),P18)</f>
        <v>未確認</v>
      </c>
      <c r="R18" s="11" t="str">
        <f>IF(ISNUMBER(N18),N18-統計!$B$2,"")</f>
        <v/>
      </c>
      <c r="S18" s="14" t="s">
        <v>42</v>
      </c>
      <c r="T18" s="5" t="s">
        <v>163</v>
      </c>
      <c r="U18" s="13" t="s">
        <v>164</v>
      </c>
    </row>
    <row r="19" spans="1:21" ht="43.5" customHeight="1">
      <c r="A19" s="4">
        <v>18</v>
      </c>
      <c r="B19" s="5" t="s">
        <v>135</v>
      </c>
      <c r="C19" s="5" t="s">
        <v>22</v>
      </c>
      <c r="D19" s="5" t="s">
        <v>165</v>
      </c>
      <c r="E19" s="5" t="s">
        <v>166</v>
      </c>
      <c r="F19" s="5" t="s">
        <v>167</v>
      </c>
      <c r="G19" s="7" t="str">
        <f>IF(COUNTIF(比對結果!$G$2:$G$80,A19)&gt;0,"✓","")</f>
        <v/>
      </c>
      <c r="H19" s="5" t="s">
        <v>168</v>
      </c>
      <c r="I19" s="8">
        <v>3000</v>
      </c>
      <c r="J19" s="5" t="s">
        <v>169</v>
      </c>
      <c r="K19" s="5" t="s">
        <v>28</v>
      </c>
      <c r="L19" s="5" t="s">
        <v>170</v>
      </c>
      <c r="M19" s="9" t="s">
        <v>49</v>
      </c>
      <c r="N19" s="10"/>
      <c r="O19" s="6" t="s">
        <v>171</v>
      </c>
      <c r="P19" s="5" t="s">
        <v>41</v>
      </c>
      <c r="Q19" s="4" t="str">
        <f>IF(ISNUMBER(N19),IF(N19&lt;統計!$B$2,"已截止","受理中"),P19)</f>
        <v>未確認</v>
      </c>
      <c r="R19" s="11" t="str">
        <f>IF(ISNUMBER(N19),N19-統計!$B$2,"")</f>
        <v/>
      </c>
      <c r="S19" s="12" t="s">
        <v>32</v>
      </c>
      <c r="T19" s="5" t="s">
        <v>172</v>
      </c>
      <c r="U19" s="13" t="s">
        <v>173</v>
      </c>
    </row>
    <row r="20" spans="1:21" ht="29.25" customHeight="1">
      <c r="A20" s="4">
        <v>19</v>
      </c>
      <c r="B20" s="5" t="s">
        <v>135</v>
      </c>
      <c r="C20" s="5" t="s">
        <v>22</v>
      </c>
      <c r="D20" s="5" t="s">
        <v>174</v>
      </c>
      <c r="E20" s="5" t="s">
        <v>174</v>
      </c>
      <c r="F20" s="6" t="s">
        <v>175</v>
      </c>
      <c r="G20" s="7" t="str">
        <f>IF(COUNTIF(比對結果!$G$2:$G$80,A20)&gt;0,"✓","")</f>
        <v/>
      </c>
      <c r="H20" s="5" t="s">
        <v>176</v>
      </c>
      <c r="I20" s="8"/>
      <c r="J20" s="5" t="s">
        <v>177</v>
      </c>
      <c r="K20" s="5" t="s">
        <v>178</v>
      </c>
      <c r="L20" s="5" t="s">
        <v>179</v>
      </c>
      <c r="M20" s="9" t="s">
        <v>180</v>
      </c>
      <c r="N20" s="10">
        <v>45954</v>
      </c>
      <c r="O20" s="5" t="s">
        <v>181</v>
      </c>
      <c r="P20" s="6"/>
      <c r="Q20" s="4" t="str">
        <f>IF(ISNUMBER(N20),IF(N20&lt;統計!$B$2,"已截止","受理中"),P20)</f>
        <v>已截止</v>
      </c>
      <c r="R20" s="11">
        <f>IF(ISNUMBER(N20),N20-統計!$B$2,"")</f>
        <v>-361</v>
      </c>
      <c r="S20" s="12" t="s">
        <v>32</v>
      </c>
      <c r="T20" s="5" t="s">
        <v>182</v>
      </c>
      <c r="U20" s="13" t="s">
        <v>183</v>
      </c>
    </row>
    <row r="21" spans="1:21" ht="43.5" customHeight="1">
      <c r="A21" s="4">
        <v>20</v>
      </c>
      <c r="B21" s="5" t="s">
        <v>135</v>
      </c>
      <c r="C21" s="5" t="s">
        <v>22</v>
      </c>
      <c r="D21" s="5" t="s">
        <v>184</v>
      </c>
      <c r="E21" s="5" t="s">
        <v>185</v>
      </c>
      <c r="F21" s="5" t="s">
        <v>186</v>
      </c>
      <c r="G21" s="7" t="str">
        <f>IF(COUNTIF(比對結果!$G$2:$G$80,A21)&gt;0,"✓","")</f>
        <v/>
      </c>
      <c r="H21" s="5" t="s">
        <v>187</v>
      </c>
      <c r="I21" s="8">
        <v>750</v>
      </c>
      <c r="J21" s="5" t="s">
        <v>188</v>
      </c>
      <c r="K21" s="5" t="s">
        <v>28</v>
      </c>
      <c r="L21" s="5" t="s">
        <v>189</v>
      </c>
      <c r="M21" s="9" t="s">
        <v>180</v>
      </c>
      <c r="N21" s="10">
        <v>46286</v>
      </c>
      <c r="O21" s="5" t="s">
        <v>190</v>
      </c>
      <c r="P21" s="6"/>
      <c r="Q21" s="4" t="str">
        <f>IF(ISNUMBER(N21),IF(N21&lt;統計!$B$2,"已截止","受理中"),P21)</f>
        <v>已截止</v>
      </c>
      <c r="R21" s="11">
        <f>IF(ISNUMBER(N21),N21-統計!$B$2,"")</f>
        <v>-29</v>
      </c>
      <c r="S21" s="15" t="s">
        <v>72</v>
      </c>
      <c r="T21" s="5" t="s">
        <v>191</v>
      </c>
      <c r="U21" s="13" t="s">
        <v>192</v>
      </c>
    </row>
    <row r="22" spans="1:21" ht="43.5" customHeight="1">
      <c r="A22" s="4">
        <v>21</v>
      </c>
      <c r="B22" s="5" t="s">
        <v>135</v>
      </c>
      <c r="C22" s="5" t="s">
        <v>85</v>
      </c>
      <c r="D22" s="5" t="s">
        <v>136</v>
      </c>
      <c r="E22" s="5" t="s">
        <v>137</v>
      </c>
      <c r="F22" s="6" t="s">
        <v>193</v>
      </c>
      <c r="G22" s="7" t="str">
        <f>IF(COUNTIF(比對結果!$G$2:$G$80,A22)&gt;0,"✓","")</f>
        <v/>
      </c>
      <c r="H22" s="5" t="s">
        <v>194</v>
      </c>
      <c r="I22" s="8"/>
      <c r="J22" s="5" t="s">
        <v>195</v>
      </c>
      <c r="K22" s="5" t="s">
        <v>196</v>
      </c>
      <c r="L22" s="5" t="s">
        <v>197</v>
      </c>
      <c r="M22" s="9" t="s">
        <v>49</v>
      </c>
      <c r="N22" s="10">
        <v>46325</v>
      </c>
      <c r="O22" s="5" t="s">
        <v>198</v>
      </c>
      <c r="P22" s="6"/>
      <c r="Q22" s="4" t="str">
        <f>IF(ISNUMBER(N22),IF(N22&lt;統計!$B$2,"已截止","受理中"),P22)</f>
        <v>受理中</v>
      </c>
      <c r="R22" s="11">
        <f>IF(ISNUMBER(N22),N22-統計!$B$2,"")</f>
        <v>10</v>
      </c>
      <c r="S22" s="15" t="s">
        <v>72</v>
      </c>
      <c r="T22" s="6" t="s">
        <v>199</v>
      </c>
      <c r="U22" s="13" t="s">
        <v>200</v>
      </c>
    </row>
    <row r="23" spans="1:21" ht="29.25" customHeight="1">
      <c r="A23" s="4">
        <v>22</v>
      </c>
      <c r="B23" s="5" t="s">
        <v>135</v>
      </c>
      <c r="C23" s="5" t="s">
        <v>85</v>
      </c>
      <c r="D23" s="5" t="s">
        <v>136</v>
      </c>
      <c r="E23" s="5" t="s">
        <v>136</v>
      </c>
      <c r="F23" s="5" t="s">
        <v>201</v>
      </c>
      <c r="G23" s="7" t="str">
        <f>IF(COUNTIF(比對結果!$G$2:$G$80,A23)&gt;0,"✓","")</f>
        <v/>
      </c>
      <c r="H23" s="5" t="s">
        <v>202</v>
      </c>
      <c r="I23" s="8"/>
      <c r="J23" s="5" t="s">
        <v>203</v>
      </c>
      <c r="K23" s="5" t="s">
        <v>204</v>
      </c>
      <c r="L23" s="5" t="s">
        <v>205</v>
      </c>
      <c r="M23" s="9" t="s">
        <v>49</v>
      </c>
      <c r="N23" s="10"/>
      <c r="O23" s="5" t="s">
        <v>55</v>
      </c>
      <c r="P23" s="5" t="s">
        <v>41</v>
      </c>
      <c r="Q23" s="4" t="str">
        <f>IF(ISNUMBER(N23),IF(N23&lt;統計!$B$2,"已截止","受理中"),P23)</f>
        <v>未確認</v>
      </c>
      <c r="R23" s="11" t="str">
        <f>IF(ISNUMBER(N23),N23-統計!$B$2,"")</f>
        <v/>
      </c>
      <c r="S23" s="14" t="s">
        <v>42</v>
      </c>
      <c r="T23" s="5" t="s">
        <v>206</v>
      </c>
      <c r="U23" s="13" t="s">
        <v>164</v>
      </c>
    </row>
    <row r="24" spans="1:21" ht="29.25" customHeight="1">
      <c r="A24" s="4">
        <v>23</v>
      </c>
      <c r="B24" s="5" t="s">
        <v>135</v>
      </c>
      <c r="C24" s="5" t="s">
        <v>85</v>
      </c>
      <c r="D24" s="5" t="s">
        <v>136</v>
      </c>
      <c r="E24" s="5" t="s">
        <v>137</v>
      </c>
      <c r="F24" s="5" t="s">
        <v>207</v>
      </c>
      <c r="G24" s="7" t="str">
        <f>IF(COUNTIF(比對結果!$G$2:$G$80,A24)&gt;0,"✓","")</f>
        <v/>
      </c>
      <c r="H24" s="5" t="s">
        <v>208</v>
      </c>
      <c r="I24" s="8"/>
      <c r="J24" s="5" t="s">
        <v>209</v>
      </c>
      <c r="K24" s="5" t="s">
        <v>97</v>
      </c>
      <c r="L24" s="5" t="s">
        <v>210</v>
      </c>
      <c r="M24" s="9" t="s">
        <v>30</v>
      </c>
      <c r="N24" s="10"/>
      <c r="O24" s="5" t="s">
        <v>211</v>
      </c>
      <c r="P24" s="5" t="s">
        <v>212</v>
      </c>
      <c r="Q24" s="4" t="str">
        <f>IF(ISNUMBER(N24),IF(N24&lt;統計!$B$2,"已截止","受理中"),P24)</f>
        <v>未確認(計畫結束中)</v>
      </c>
      <c r="R24" s="11" t="str">
        <f>IF(ISNUMBER(N24),N24-統計!$B$2,"")</f>
        <v/>
      </c>
      <c r="S24" s="14" t="s">
        <v>42</v>
      </c>
      <c r="T24" s="5" t="s">
        <v>213</v>
      </c>
      <c r="U24" s="13" t="s">
        <v>214</v>
      </c>
    </row>
    <row r="25" spans="1:21" ht="29.25" customHeight="1">
      <c r="A25" s="4">
        <v>24</v>
      </c>
      <c r="B25" s="5" t="s">
        <v>135</v>
      </c>
      <c r="C25" s="5" t="s">
        <v>85</v>
      </c>
      <c r="D25" s="5" t="s">
        <v>165</v>
      </c>
      <c r="E25" s="5" t="s">
        <v>165</v>
      </c>
      <c r="F25" s="5" t="s">
        <v>215</v>
      </c>
      <c r="G25" s="7" t="str">
        <f>IF(COUNTIF(比對結果!$G$2:$G$80,A25)&gt;0,"✓","")</f>
        <v/>
      </c>
      <c r="H25" s="5" t="s">
        <v>216</v>
      </c>
      <c r="I25" s="8"/>
      <c r="J25" s="5" t="s">
        <v>217</v>
      </c>
      <c r="K25" s="5" t="s">
        <v>218</v>
      </c>
      <c r="L25" s="5" t="s">
        <v>219</v>
      </c>
      <c r="M25" s="9" t="s">
        <v>41</v>
      </c>
      <c r="N25" s="10"/>
      <c r="O25" s="5" t="s">
        <v>55</v>
      </c>
      <c r="P25" s="5" t="s">
        <v>41</v>
      </c>
      <c r="Q25" s="4" t="str">
        <f>IF(ISNUMBER(N25),IF(N25&lt;統計!$B$2,"已截止","受理中"),P25)</f>
        <v>未確認</v>
      </c>
      <c r="R25" s="11" t="str">
        <f>IF(ISNUMBER(N25),N25-統計!$B$2,"")</f>
        <v/>
      </c>
      <c r="S25" s="14" t="s">
        <v>42</v>
      </c>
      <c r="T25" s="5" t="s">
        <v>220</v>
      </c>
      <c r="U25" s="13" t="s">
        <v>221</v>
      </c>
    </row>
    <row r="26" spans="1:21" ht="29.25" customHeight="1">
      <c r="A26" s="4">
        <v>25</v>
      </c>
      <c r="B26" s="5" t="s">
        <v>135</v>
      </c>
      <c r="C26" s="6" t="s">
        <v>222</v>
      </c>
      <c r="D26" s="5" t="s">
        <v>223</v>
      </c>
      <c r="E26" s="5" t="s">
        <v>224</v>
      </c>
      <c r="F26" s="5" t="s">
        <v>225</v>
      </c>
      <c r="G26" s="7" t="str">
        <f>IF(COUNTIF(比對結果!$G$2:$G$80,A26)&gt;0,"✓","")</f>
        <v/>
      </c>
      <c r="H26" s="6" t="s">
        <v>226</v>
      </c>
      <c r="I26" s="8">
        <v>10</v>
      </c>
      <c r="J26" s="5" t="s">
        <v>227</v>
      </c>
      <c r="K26" s="5" t="s">
        <v>228</v>
      </c>
      <c r="L26" s="6" t="s">
        <v>229</v>
      </c>
      <c r="M26" s="9" t="s">
        <v>180</v>
      </c>
      <c r="N26" s="10"/>
      <c r="O26" s="5" t="s">
        <v>55</v>
      </c>
      <c r="P26" s="5" t="s">
        <v>41</v>
      </c>
      <c r="Q26" s="4" t="str">
        <f>IF(ISNUMBER(N26),IF(N26&lt;統計!$B$2,"已截止","受理中"),P26)</f>
        <v>未確認</v>
      </c>
      <c r="R26" s="11" t="str">
        <f>IF(ISNUMBER(N26),N26-統計!$B$2,"")</f>
        <v/>
      </c>
      <c r="S26" s="14" t="s">
        <v>42</v>
      </c>
      <c r="T26" s="5" t="s">
        <v>230</v>
      </c>
      <c r="U26" s="13" t="s">
        <v>231</v>
      </c>
    </row>
    <row r="27" spans="1:21" ht="29.25" customHeight="1">
      <c r="A27" s="4">
        <v>26</v>
      </c>
      <c r="B27" s="5" t="s">
        <v>135</v>
      </c>
      <c r="C27" s="6" t="s">
        <v>222</v>
      </c>
      <c r="D27" s="5" t="s">
        <v>223</v>
      </c>
      <c r="E27" s="5" t="s">
        <v>224</v>
      </c>
      <c r="F27" s="5" t="s">
        <v>232</v>
      </c>
      <c r="G27" s="7" t="str">
        <f>IF(COUNTIF(比對結果!$G$2:$G$80,A27)&gt;0,"✓","")</f>
        <v/>
      </c>
      <c r="H27" s="5" t="s">
        <v>233</v>
      </c>
      <c r="I27" s="8">
        <v>7</v>
      </c>
      <c r="J27" s="5" t="s">
        <v>234</v>
      </c>
      <c r="K27" s="5" t="s">
        <v>228</v>
      </c>
      <c r="L27" s="5" t="s">
        <v>235</v>
      </c>
      <c r="M27" s="9" t="s">
        <v>180</v>
      </c>
      <c r="N27" s="10"/>
      <c r="O27" s="5" t="s">
        <v>55</v>
      </c>
      <c r="P27" s="5" t="s">
        <v>41</v>
      </c>
      <c r="Q27" s="4" t="str">
        <f>IF(ISNUMBER(N27),IF(N27&lt;統計!$B$2,"已截止","受理中"),P27)</f>
        <v>未確認</v>
      </c>
      <c r="R27" s="11" t="str">
        <f>IF(ISNUMBER(N27),N27-統計!$B$2,"")</f>
        <v/>
      </c>
      <c r="S27" s="14" t="s">
        <v>42</v>
      </c>
      <c r="T27" s="5" t="s">
        <v>236</v>
      </c>
      <c r="U27" s="13" t="s">
        <v>237</v>
      </c>
    </row>
  </sheetData>
  <autoFilter ref="A1:U27" xr:uid="{00000000-0009-0000-0000-000000000000}"/>
  <phoneticPr fontId="16" type="noConversion"/>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 ref="U23" r:id="rId22" xr:uid="{00000000-0004-0000-0000-000015000000}"/>
    <hyperlink ref="U24" r:id="rId23" xr:uid="{00000000-0004-0000-0000-000016000000}"/>
    <hyperlink ref="U25" r:id="rId24" xr:uid="{00000000-0004-0000-0000-000017000000}"/>
    <hyperlink ref="U26" r:id="rId25" xr:uid="{00000000-0004-0000-0000-000018000000}"/>
    <hyperlink ref="U27" r:id="rId26" xr:uid="{00000000-0004-0000-0000-000019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Normal="100" workbookViewId="0">
      <pane xSplit="6" ySplit="1" topLeftCell="G2" activePane="bottomRight" state="frozen"/>
      <selection pane="topRight" activeCell="G1" sqref="G1"/>
      <selection pane="bottomLeft" activeCell="A2" sqref="A2"/>
      <selection pane="bottomRight" activeCell="F42" sqref="F42"/>
    </sheetView>
  </sheetViews>
  <sheetFormatPr defaultColWidth="8.7109375" defaultRowHeight="15"/>
  <cols>
    <col min="1" max="1" width="5" style="1" customWidth="1"/>
    <col min="2" max="2" width="16" style="1" customWidth="1"/>
    <col min="3" max="3" width="18" style="1" customWidth="1"/>
    <col min="4" max="4" width="11" style="1" customWidth="1"/>
    <col min="5" max="5" width="16" style="1" customWidth="1"/>
    <col min="6" max="6" width="34" style="1" customWidth="1"/>
    <col min="7" max="8" width="10" style="1" customWidth="1"/>
    <col min="9" max="9" width="14" style="1" customWidth="1"/>
    <col min="10" max="10" width="44" style="1" customWidth="1"/>
    <col min="11" max="11" width="11" style="1" customWidth="1"/>
    <col min="12" max="12" width="36" style="1" customWidth="1"/>
    <col min="13" max="13" width="16" style="1" customWidth="1"/>
    <col min="14" max="14" width="30" style="1" customWidth="1"/>
    <col min="15" max="16" width="12" style="1" customWidth="1"/>
    <col min="17" max="17" width="40" style="1" customWidth="1"/>
    <col min="18" max="18" width="16" style="1" customWidth="1"/>
    <col min="19" max="19" width="12" style="1" customWidth="1"/>
    <col min="20" max="20" width="9" style="1" customWidth="1"/>
    <col min="21" max="21" width="16" style="1" customWidth="1"/>
    <col min="22" max="22" width="52" style="1" customWidth="1"/>
    <col min="23" max="23" width="36" style="1" customWidth="1"/>
    <col min="24" max="24" width="9" style="1" customWidth="1"/>
  </cols>
  <sheetData>
    <row r="1" spans="1:24" ht="31.5" customHeight="1">
      <c r="A1" s="2" t="s">
        <v>0</v>
      </c>
      <c r="B1" s="2" t="s">
        <v>1</v>
      </c>
      <c r="C1" s="2" t="s">
        <v>2</v>
      </c>
      <c r="D1" s="2" t="s">
        <v>3</v>
      </c>
      <c r="E1" s="2" t="s">
        <v>4</v>
      </c>
      <c r="F1" s="2" t="s">
        <v>5</v>
      </c>
      <c r="G1" s="2" t="s">
        <v>238</v>
      </c>
      <c r="H1" s="2" t="s">
        <v>239</v>
      </c>
      <c r="I1" s="3"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240</v>
      </c>
    </row>
    <row r="2" spans="1:24" ht="29.25" customHeight="1">
      <c r="A2" s="16">
        <v>1</v>
      </c>
      <c r="B2" s="17" t="s">
        <v>241</v>
      </c>
      <c r="C2" s="17"/>
      <c r="D2" s="17" t="s">
        <v>23</v>
      </c>
      <c r="E2" s="17" t="s">
        <v>137</v>
      </c>
      <c r="F2" s="18" t="s">
        <v>242</v>
      </c>
      <c r="G2" s="19" t="str">
        <f t="shared" ref="G2:G42" si="0">IF(H2&lt;&gt;"","✓","")</f>
        <v>✓</v>
      </c>
      <c r="H2" s="16">
        <f>IF(INDEX(比對結果!$G$2:$G$42,MATCH(X2,比對結果!$A$2:$A$42,0))="","",INDEX(比對結果!$G$2:$G$42,MATCH(X2,比對結果!$A$2:$A$42,0)))</f>
        <v>14</v>
      </c>
      <c r="I2" s="19" t="s">
        <v>243</v>
      </c>
      <c r="J2" s="18"/>
      <c r="K2" s="20"/>
      <c r="L2" s="18"/>
      <c r="M2" s="18"/>
      <c r="N2" s="18"/>
      <c r="O2" s="16"/>
      <c r="P2" s="21"/>
      <c r="Q2" s="18"/>
      <c r="R2" s="18"/>
      <c r="S2" s="16"/>
      <c r="T2" s="22"/>
      <c r="U2" s="16"/>
      <c r="V2" s="17" t="s">
        <v>244</v>
      </c>
      <c r="W2" s="18"/>
      <c r="X2" s="16">
        <v>2</v>
      </c>
    </row>
    <row r="3" spans="1:24" ht="57.75" customHeight="1">
      <c r="A3" s="4">
        <v>2</v>
      </c>
      <c r="B3" s="5" t="s">
        <v>241</v>
      </c>
      <c r="C3" s="5" t="s">
        <v>22</v>
      </c>
      <c r="D3" s="5" t="s">
        <v>23</v>
      </c>
      <c r="E3" s="5" t="s">
        <v>24</v>
      </c>
      <c r="F3" s="6" t="s">
        <v>245</v>
      </c>
      <c r="G3" s="7" t="str">
        <f t="shared" si="0"/>
        <v/>
      </c>
      <c r="H3" s="4" t="str">
        <f>IF(INDEX(比對結果!$G$2:$G$42,MATCH(X3,比對結果!$A$2:$A$42,0))="","",INDEX(比對結果!$G$2:$G$42,MATCH(X3,比對結果!$A$2:$A$42,0)))</f>
        <v/>
      </c>
      <c r="I3" s="7" t="s">
        <v>243</v>
      </c>
      <c r="J3" s="5" t="s">
        <v>246</v>
      </c>
      <c r="K3" s="8">
        <v>3000</v>
      </c>
      <c r="L3" s="6" t="s">
        <v>247</v>
      </c>
      <c r="M3" s="5" t="s">
        <v>248</v>
      </c>
      <c r="N3" s="5" t="s">
        <v>249</v>
      </c>
      <c r="O3" s="9" t="s">
        <v>49</v>
      </c>
      <c r="P3" s="10">
        <v>46387</v>
      </c>
      <c r="Q3" s="6" t="s">
        <v>250</v>
      </c>
      <c r="R3" s="6"/>
      <c r="S3" s="4" t="str">
        <f>IF(ISNUMBER(P3),IF(P3&lt;統計!$B$2,"已截止","受理中"),R3)</f>
        <v>受理中</v>
      </c>
      <c r="T3" s="11">
        <f>IF(ISNUMBER(P3),P3-統計!$B$2,"")</f>
        <v>72</v>
      </c>
      <c r="U3" s="23" t="s">
        <v>251</v>
      </c>
      <c r="V3" s="6" t="s">
        <v>252</v>
      </c>
      <c r="W3" s="13" t="s">
        <v>253</v>
      </c>
      <c r="X3" s="4">
        <v>4</v>
      </c>
    </row>
    <row r="4" spans="1:24" ht="86.25" customHeight="1">
      <c r="A4" s="4">
        <v>3</v>
      </c>
      <c r="B4" s="5" t="s">
        <v>241</v>
      </c>
      <c r="C4" s="5" t="s">
        <v>75</v>
      </c>
      <c r="D4" s="5" t="s">
        <v>23</v>
      </c>
      <c r="E4" s="5" t="s">
        <v>24</v>
      </c>
      <c r="F4" s="6" t="s">
        <v>254</v>
      </c>
      <c r="G4" s="7" t="str">
        <f t="shared" si="0"/>
        <v/>
      </c>
      <c r="H4" s="4" t="str">
        <f>IF(INDEX(比對結果!$G$2:$G$42,MATCH(X4,比對結果!$A$2:$A$42,0))="","",INDEX(比對結果!$G$2:$G$42,MATCH(X4,比對結果!$A$2:$A$42,0)))</f>
        <v/>
      </c>
      <c r="I4" s="7" t="s">
        <v>243</v>
      </c>
      <c r="J4" s="5" t="s">
        <v>255</v>
      </c>
      <c r="K4" s="8">
        <v>180</v>
      </c>
      <c r="L4" s="6" t="s">
        <v>256</v>
      </c>
      <c r="M4" s="5" t="s">
        <v>257</v>
      </c>
      <c r="N4" s="6" t="s">
        <v>258</v>
      </c>
      <c r="O4" s="9" t="s">
        <v>49</v>
      </c>
      <c r="P4" s="10">
        <v>46078</v>
      </c>
      <c r="Q4" s="6" t="s">
        <v>259</v>
      </c>
      <c r="R4" s="6"/>
      <c r="S4" s="4" t="str">
        <f>IF(ISNUMBER(P4),IF(P4&lt;統計!$B$2,"已截止","受理中"),R4)</f>
        <v>已截止</v>
      </c>
      <c r="T4" s="11">
        <f>IF(ISNUMBER(P4),P4-統計!$B$2,"")</f>
        <v>-237</v>
      </c>
      <c r="U4" s="23" t="s">
        <v>251</v>
      </c>
      <c r="V4" s="5" t="s">
        <v>260</v>
      </c>
      <c r="W4" s="13" t="s">
        <v>261</v>
      </c>
      <c r="X4" s="4">
        <v>5</v>
      </c>
    </row>
    <row r="5" spans="1:24" ht="86.25" customHeight="1">
      <c r="A5" s="4">
        <v>4</v>
      </c>
      <c r="B5" s="5" t="s">
        <v>241</v>
      </c>
      <c r="C5" s="5" t="s">
        <v>75</v>
      </c>
      <c r="D5" s="5" t="s">
        <v>23</v>
      </c>
      <c r="E5" s="5" t="s">
        <v>24</v>
      </c>
      <c r="F5" s="6" t="s">
        <v>262</v>
      </c>
      <c r="G5" s="7" t="str">
        <f t="shared" si="0"/>
        <v/>
      </c>
      <c r="H5" s="4" t="str">
        <f>IF(INDEX(比對結果!$G$2:$G$42,MATCH(X5,比對結果!$A$2:$A$42,0))="","",INDEX(比對結果!$G$2:$G$42,MATCH(X5,比對結果!$A$2:$A$42,0)))</f>
        <v/>
      </c>
      <c r="I5" s="7" t="s">
        <v>243</v>
      </c>
      <c r="J5" s="5" t="s">
        <v>263</v>
      </c>
      <c r="K5" s="8">
        <v>180</v>
      </c>
      <c r="L5" s="6" t="s">
        <v>256</v>
      </c>
      <c r="M5" s="5" t="s">
        <v>257</v>
      </c>
      <c r="N5" s="5" t="s">
        <v>264</v>
      </c>
      <c r="O5" s="9" t="s">
        <v>49</v>
      </c>
      <c r="P5" s="10">
        <v>46101</v>
      </c>
      <c r="Q5" s="6" t="s">
        <v>265</v>
      </c>
      <c r="R5" s="6"/>
      <c r="S5" s="4" t="str">
        <f>IF(ISNUMBER(P5),IF(P5&lt;統計!$B$2,"已截止","受理中"),R5)</f>
        <v>已截止</v>
      </c>
      <c r="T5" s="11">
        <f>IF(ISNUMBER(P5),P5-統計!$B$2,"")</f>
        <v>-214</v>
      </c>
      <c r="U5" s="23" t="s">
        <v>251</v>
      </c>
      <c r="V5" s="5" t="s">
        <v>266</v>
      </c>
      <c r="W5" s="13" t="s">
        <v>267</v>
      </c>
      <c r="X5" s="4">
        <v>6</v>
      </c>
    </row>
    <row r="6" spans="1:24" ht="43.5" customHeight="1">
      <c r="A6" s="4">
        <v>5</v>
      </c>
      <c r="B6" s="5" t="s">
        <v>241</v>
      </c>
      <c r="C6" s="5" t="s">
        <v>268</v>
      </c>
      <c r="D6" s="5" t="s">
        <v>23</v>
      </c>
      <c r="E6" s="5" t="s">
        <v>269</v>
      </c>
      <c r="F6" s="5" t="s">
        <v>270</v>
      </c>
      <c r="G6" s="7" t="str">
        <f t="shared" si="0"/>
        <v/>
      </c>
      <c r="H6" s="4" t="str">
        <f>IF(INDEX(比對結果!$G$2:$G$42,MATCH(X6,比對結果!$A$2:$A$42,0))="","",INDEX(比對結果!$G$2:$G$42,MATCH(X6,比對結果!$A$2:$A$42,0)))</f>
        <v/>
      </c>
      <c r="I6" s="7" t="s">
        <v>243</v>
      </c>
      <c r="J6" s="5" t="s">
        <v>271</v>
      </c>
      <c r="K6" s="8"/>
      <c r="L6" s="5" t="s">
        <v>272</v>
      </c>
      <c r="M6" s="5" t="s">
        <v>273</v>
      </c>
      <c r="N6" s="5" t="s">
        <v>274</v>
      </c>
      <c r="O6" s="9" t="s">
        <v>180</v>
      </c>
      <c r="P6" s="10"/>
      <c r="Q6" s="5" t="s">
        <v>275</v>
      </c>
      <c r="R6" s="5" t="s">
        <v>276</v>
      </c>
      <c r="S6" s="4" t="str">
        <f>IF(ISNUMBER(P6),IF(P6&lt;統計!$B$2,"已截止","受理中"),R6)</f>
        <v>非申請制</v>
      </c>
      <c r="T6" s="11" t="str">
        <f>IF(ISNUMBER(P6),P6-統計!$B$2,"")</f>
        <v/>
      </c>
      <c r="U6" s="23" t="s">
        <v>251</v>
      </c>
      <c r="V6" s="5" t="s">
        <v>277</v>
      </c>
      <c r="W6" s="13" t="s">
        <v>278</v>
      </c>
      <c r="X6" s="4">
        <v>7</v>
      </c>
    </row>
    <row r="7" spans="1:24" ht="72" customHeight="1">
      <c r="A7" s="4">
        <v>6</v>
      </c>
      <c r="B7" s="5" t="s">
        <v>241</v>
      </c>
      <c r="C7" s="5" t="s">
        <v>75</v>
      </c>
      <c r="D7" s="5" t="s">
        <v>23</v>
      </c>
      <c r="E7" s="5" t="s">
        <v>269</v>
      </c>
      <c r="F7" s="5" t="s">
        <v>279</v>
      </c>
      <c r="G7" s="7" t="str">
        <f t="shared" si="0"/>
        <v/>
      </c>
      <c r="H7" s="4" t="str">
        <f>IF(INDEX(比對結果!$G$2:$G$42,MATCH(X7,比對結果!$A$2:$A$42,0))="","",INDEX(比對結果!$G$2:$G$42,MATCH(X7,比對結果!$A$2:$A$42,0)))</f>
        <v/>
      </c>
      <c r="I7" s="7" t="s">
        <v>243</v>
      </c>
      <c r="J7" s="5" t="s">
        <v>280</v>
      </c>
      <c r="K7" s="8"/>
      <c r="L7" s="5" t="s">
        <v>281</v>
      </c>
      <c r="M7" s="5" t="s">
        <v>282</v>
      </c>
      <c r="N7" s="5" t="s">
        <v>283</v>
      </c>
      <c r="O7" s="9" t="s">
        <v>30</v>
      </c>
      <c r="P7" s="10"/>
      <c r="Q7" s="5" t="s">
        <v>284</v>
      </c>
      <c r="R7" s="5" t="s">
        <v>285</v>
      </c>
      <c r="S7" s="4" t="str">
        <f>IF(ISNUMBER(P7),IF(P7&lt;統計!$B$2,"已截止","受理中"),R7)</f>
        <v>未確認(分項期限不同)</v>
      </c>
      <c r="T7" s="11" t="str">
        <f>IF(ISNUMBER(P7),P7-統計!$B$2,"")</f>
        <v/>
      </c>
      <c r="U7" s="12" t="s">
        <v>32</v>
      </c>
      <c r="V7" s="5" t="s">
        <v>286</v>
      </c>
      <c r="W7" s="13" t="s">
        <v>287</v>
      </c>
      <c r="X7" s="4">
        <v>8</v>
      </c>
    </row>
    <row r="8" spans="1:24" ht="100.5" customHeight="1">
      <c r="A8" s="4">
        <v>7</v>
      </c>
      <c r="B8" s="5" t="s">
        <v>241</v>
      </c>
      <c r="C8" s="5" t="s">
        <v>75</v>
      </c>
      <c r="D8" s="5" t="s">
        <v>23</v>
      </c>
      <c r="E8" s="5" t="s">
        <v>120</v>
      </c>
      <c r="F8" s="6" t="s">
        <v>288</v>
      </c>
      <c r="G8" s="7" t="str">
        <f t="shared" si="0"/>
        <v/>
      </c>
      <c r="H8" s="4" t="str">
        <f>IF(INDEX(比對結果!$G$2:$G$42,MATCH(X8,比對結果!$A$2:$A$42,0))="","",INDEX(比對結果!$G$2:$G$42,MATCH(X8,比對結果!$A$2:$A$42,0)))</f>
        <v/>
      </c>
      <c r="I8" s="7" t="s">
        <v>243</v>
      </c>
      <c r="J8" s="5" t="s">
        <v>289</v>
      </c>
      <c r="K8" s="8">
        <v>600</v>
      </c>
      <c r="L8" s="6" t="s">
        <v>290</v>
      </c>
      <c r="M8" s="5" t="s">
        <v>291</v>
      </c>
      <c r="N8" s="5" t="s">
        <v>292</v>
      </c>
      <c r="O8" s="9" t="s">
        <v>30</v>
      </c>
      <c r="P8" s="10">
        <v>46126</v>
      </c>
      <c r="Q8" s="6" t="s">
        <v>293</v>
      </c>
      <c r="R8" s="6"/>
      <c r="S8" s="4" t="str">
        <f>IF(ISNUMBER(P8),IF(P8&lt;統計!$B$2,"已截止","受理中"),R8)</f>
        <v>已截止</v>
      </c>
      <c r="T8" s="11">
        <f>IF(ISNUMBER(P8),P8-統計!$B$2,"")</f>
        <v>-189</v>
      </c>
      <c r="U8" s="23" t="s">
        <v>251</v>
      </c>
      <c r="V8" s="5" t="s">
        <v>294</v>
      </c>
      <c r="W8" s="13" t="s">
        <v>295</v>
      </c>
      <c r="X8" s="4">
        <v>9</v>
      </c>
    </row>
    <row r="9" spans="1:24" ht="57.75" customHeight="1">
      <c r="A9" s="4">
        <v>8</v>
      </c>
      <c r="B9" s="5" t="s">
        <v>241</v>
      </c>
      <c r="C9" s="5" t="s">
        <v>75</v>
      </c>
      <c r="D9" s="5" t="s">
        <v>23</v>
      </c>
      <c r="E9" s="5" t="s">
        <v>120</v>
      </c>
      <c r="F9" s="5" t="s">
        <v>296</v>
      </c>
      <c r="G9" s="7" t="str">
        <f t="shared" si="0"/>
        <v/>
      </c>
      <c r="H9" s="4" t="str">
        <f>IF(INDEX(比對結果!$G$2:$G$42,MATCH(X9,比對結果!$A$2:$A$42,0))="","",INDEX(比對結果!$G$2:$G$42,MATCH(X9,比對結果!$A$2:$A$42,0)))</f>
        <v/>
      </c>
      <c r="I9" s="7" t="s">
        <v>243</v>
      </c>
      <c r="J9" s="5" t="s">
        <v>297</v>
      </c>
      <c r="K9" s="8"/>
      <c r="L9" s="5" t="s">
        <v>298</v>
      </c>
      <c r="M9" s="5" t="s">
        <v>299</v>
      </c>
      <c r="N9" s="5" t="s">
        <v>300</v>
      </c>
      <c r="O9" s="9" t="s">
        <v>41</v>
      </c>
      <c r="P9" s="10"/>
      <c r="Q9" s="5" t="s">
        <v>298</v>
      </c>
      <c r="R9" s="5" t="s">
        <v>41</v>
      </c>
      <c r="S9" s="4" t="str">
        <f>IF(ISNUMBER(P9),IF(P9&lt;統計!$B$2,"已截止","受理中"),R9)</f>
        <v>未確認</v>
      </c>
      <c r="T9" s="11" t="str">
        <f>IF(ISNUMBER(P9),P9-統計!$B$2,"")</f>
        <v/>
      </c>
      <c r="U9" s="23" t="s">
        <v>251</v>
      </c>
      <c r="V9" s="5" t="s">
        <v>301</v>
      </c>
      <c r="W9" s="6"/>
      <c r="X9" s="4">
        <v>10</v>
      </c>
    </row>
    <row r="10" spans="1:24" ht="72" customHeight="1">
      <c r="A10" s="4">
        <v>9</v>
      </c>
      <c r="B10" s="5" t="s">
        <v>241</v>
      </c>
      <c r="C10" s="5" t="s">
        <v>75</v>
      </c>
      <c r="D10" s="5" t="s">
        <v>23</v>
      </c>
      <c r="E10" s="5" t="s">
        <v>120</v>
      </c>
      <c r="F10" s="6" t="s">
        <v>302</v>
      </c>
      <c r="G10" s="7" t="str">
        <f t="shared" si="0"/>
        <v/>
      </c>
      <c r="H10" s="4" t="str">
        <f>IF(INDEX(比對結果!$G$2:$G$42,MATCH(X10,比對結果!$A$2:$A$42,0))="","",INDEX(比對結果!$G$2:$G$42,MATCH(X10,比對結果!$A$2:$A$42,0)))</f>
        <v/>
      </c>
      <c r="I10" s="7" t="s">
        <v>243</v>
      </c>
      <c r="J10" s="5" t="s">
        <v>303</v>
      </c>
      <c r="K10" s="8">
        <v>40</v>
      </c>
      <c r="L10" s="6" t="s">
        <v>304</v>
      </c>
      <c r="M10" s="5" t="s">
        <v>305</v>
      </c>
      <c r="N10" s="5" t="s">
        <v>306</v>
      </c>
      <c r="O10" s="9" t="s">
        <v>49</v>
      </c>
      <c r="P10" s="10">
        <v>46203</v>
      </c>
      <c r="Q10" s="6" t="s">
        <v>307</v>
      </c>
      <c r="R10" s="6"/>
      <c r="S10" s="4" t="str">
        <f>IF(ISNUMBER(P10),IF(P10&lt;統計!$B$2,"已截止","受理中"),R10)</f>
        <v>已截止</v>
      </c>
      <c r="T10" s="11">
        <f>IF(ISNUMBER(P10),P10-統計!$B$2,"")</f>
        <v>-112</v>
      </c>
      <c r="U10" s="23" t="s">
        <v>251</v>
      </c>
      <c r="V10" s="5" t="s">
        <v>308</v>
      </c>
      <c r="W10" s="13" t="s">
        <v>309</v>
      </c>
      <c r="X10" s="4">
        <v>11</v>
      </c>
    </row>
    <row r="11" spans="1:24" ht="86.25" customHeight="1">
      <c r="A11" s="4">
        <v>10</v>
      </c>
      <c r="B11" s="5" t="s">
        <v>241</v>
      </c>
      <c r="C11" s="5" t="s">
        <v>75</v>
      </c>
      <c r="D11" s="5" t="s">
        <v>23</v>
      </c>
      <c r="E11" s="5" t="s">
        <v>120</v>
      </c>
      <c r="F11" s="6" t="s">
        <v>310</v>
      </c>
      <c r="G11" s="7" t="str">
        <f t="shared" si="0"/>
        <v/>
      </c>
      <c r="H11" s="4" t="str">
        <f>IF(INDEX(比對結果!$G$2:$G$42,MATCH(X11,比對結果!$A$2:$A$42,0))="","",INDEX(比對結果!$G$2:$G$42,MATCH(X11,比對結果!$A$2:$A$42,0)))</f>
        <v/>
      </c>
      <c r="I11" s="7" t="s">
        <v>243</v>
      </c>
      <c r="J11" s="5" t="s">
        <v>311</v>
      </c>
      <c r="K11" s="8"/>
      <c r="L11" s="5" t="s">
        <v>312</v>
      </c>
      <c r="M11" s="5" t="s">
        <v>305</v>
      </c>
      <c r="N11" s="5" t="s">
        <v>313</v>
      </c>
      <c r="O11" s="9" t="s">
        <v>49</v>
      </c>
      <c r="P11" s="10">
        <v>46136</v>
      </c>
      <c r="Q11" s="6" t="s">
        <v>314</v>
      </c>
      <c r="R11" s="6"/>
      <c r="S11" s="4" t="str">
        <f>IF(ISNUMBER(P11),IF(P11&lt;統計!$B$2,"已截止","受理中"),R11)</f>
        <v>已截止</v>
      </c>
      <c r="T11" s="11">
        <f>IF(ISNUMBER(P11),P11-統計!$B$2,"")</f>
        <v>-179</v>
      </c>
      <c r="U11" s="23" t="s">
        <v>251</v>
      </c>
      <c r="V11" s="5" t="s">
        <v>315</v>
      </c>
      <c r="W11" s="13" t="s">
        <v>316</v>
      </c>
      <c r="X11" s="4">
        <v>12</v>
      </c>
    </row>
    <row r="12" spans="1:24" ht="86.25" customHeight="1">
      <c r="A12" s="4">
        <v>11</v>
      </c>
      <c r="B12" s="5" t="s">
        <v>241</v>
      </c>
      <c r="C12" s="5" t="s">
        <v>75</v>
      </c>
      <c r="D12" s="5" t="s">
        <v>23</v>
      </c>
      <c r="E12" s="5" t="s">
        <v>120</v>
      </c>
      <c r="F12" s="6" t="s">
        <v>317</v>
      </c>
      <c r="G12" s="7" t="str">
        <f t="shared" si="0"/>
        <v/>
      </c>
      <c r="H12" s="4" t="str">
        <f>IF(INDEX(比對結果!$G$2:$G$42,MATCH(X12,比對結果!$A$2:$A$42,0))="","",INDEX(比對結果!$G$2:$G$42,MATCH(X12,比對結果!$A$2:$A$42,0)))</f>
        <v/>
      </c>
      <c r="I12" s="7" t="s">
        <v>243</v>
      </c>
      <c r="J12" s="5" t="s">
        <v>318</v>
      </c>
      <c r="K12" s="8"/>
      <c r="L12" s="5" t="s">
        <v>319</v>
      </c>
      <c r="M12" s="5" t="s">
        <v>305</v>
      </c>
      <c r="N12" s="5" t="s">
        <v>313</v>
      </c>
      <c r="O12" s="9" t="s">
        <v>49</v>
      </c>
      <c r="P12" s="10">
        <v>46136</v>
      </c>
      <c r="Q12" s="6" t="s">
        <v>314</v>
      </c>
      <c r="R12" s="6"/>
      <c r="S12" s="4" t="str">
        <f>IF(ISNUMBER(P12),IF(P12&lt;統計!$B$2,"已截止","受理中"),R12)</f>
        <v>已截止</v>
      </c>
      <c r="T12" s="11">
        <f>IF(ISNUMBER(P12),P12-統計!$B$2,"")</f>
        <v>-179</v>
      </c>
      <c r="U12" s="23" t="s">
        <v>251</v>
      </c>
      <c r="V12" s="5" t="s">
        <v>320</v>
      </c>
      <c r="W12" s="13" t="s">
        <v>316</v>
      </c>
      <c r="X12" s="4">
        <v>13</v>
      </c>
    </row>
    <row r="13" spans="1:24" ht="86.25" customHeight="1">
      <c r="A13" s="4">
        <v>12</v>
      </c>
      <c r="B13" s="5" t="s">
        <v>241</v>
      </c>
      <c r="C13" s="5" t="s">
        <v>75</v>
      </c>
      <c r="D13" s="5" t="s">
        <v>23</v>
      </c>
      <c r="E13" s="5" t="s">
        <v>120</v>
      </c>
      <c r="F13" s="6" t="s">
        <v>321</v>
      </c>
      <c r="G13" s="7" t="str">
        <f t="shared" si="0"/>
        <v/>
      </c>
      <c r="H13" s="4" t="str">
        <f>IF(INDEX(比對結果!$G$2:$G$42,MATCH(X13,比對結果!$A$2:$A$42,0))="","",INDEX(比對結果!$G$2:$G$42,MATCH(X13,比對結果!$A$2:$A$42,0)))</f>
        <v/>
      </c>
      <c r="I13" s="7" t="s">
        <v>243</v>
      </c>
      <c r="J13" s="5" t="s">
        <v>322</v>
      </c>
      <c r="K13" s="8"/>
      <c r="L13" s="5" t="s">
        <v>323</v>
      </c>
      <c r="M13" s="5" t="s">
        <v>305</v>
      </c>
      <c r="N13" s="5" t="s">
        <v>313</v>
      </c>
      <c r="O13" s="9" t="s">
        <v>49</v>
      </c>
      <c r="P13" s="10">
        <v>46155</v>
      </c>
      <c r="Q13" s="6" t="s">
        <v>324</v>
      </c>
      <c r="R13" s="6"/>
      <c r="S13" s="4" t="str">
        <f>IF(ISNUMBER(P13),IF(P13&lt;統計!$B$2,"已截止","受理中"),R13)</f>
        <v>已截止</v>
      </c>
      <c r="T13" s="11">
        <f>IF(ISNUMBER(P13),P13-統計!$B$2,"")</f>
        <v>-160</v>
      </c>
      <c r="U13" s="23" t="s">
        <v>251</v>
      </c>
      <c r="V13" s="5" t="s">
        <v>325</v>
      </c>
      <c r="W13" s="13" t="s">
        <v>316</v>
      </c>
      <c r="X13" s="4">
        <v>14</v>
      </c>
    </row>
    <row r="14" spans="1:24" ht="57.75" customHeight="1">
      <c r="A14" s="4">
        <v>13</v>
      </c>
      <c r="B14" s="5" t="s">
        <v>241</v>
      </c>
      <c r="C14" s="5" t="s">
        <v>75</v>
      </c>
      <c r="D14" s="5" t="s">
        <v>23</v>
      </c>
      <c r="E14" s="5" t="s">
        <v>120</v>
      </c>
      <c r="F14" s="6" t="s">
        <v>326</v>
      </c>
      <c r="G14" s="7" t="str">
        <f t="shared" si="0"/>
        <v/>
      </c>
      <c r="H14" s="4" t="str">
        <f>IF(INDEX(比對結果!$G$2:$G$42,MATCH(X14,比對結果!$A$2:$A$42,0))="","",INDEX(比對結果!$G$2:$G$42,MATCH(X14,比對結果!$A$2:$A$42,0)))</f>
        <v/>
      </c>
      <c r="I14" s="7" t="s">
        <v>243</v>
      </c>
      <c r="J14" s="5" t="s">
        <v>327</v>
      </c>
      <c r="K14" s="8">
        <v>3</v>
      </c>
      <c r="L14" s="5" t="s">
        <v>328</v>
      </c>
      <c r="M14" s="5" t="s">
        <v>305</v>
      </c>
      <c r="N14" s="5" t="s">
        <v>329</v>
      </c>
      <c r="O14" s="9" t="s">
        <v>49</v>
      </c>
      <c r="P14" s="10">
        <v>46206</v>
      </c>
      <c r="Q14" s="5" t="s">
        <v>330</v>
      </c>
      <c r="R14" s="6"/>
      <c r="S14" s="4" t="str">
        <f>IF(ISNUMBER(P14),IF(P14&lt;統計!$B$2,"已截止","受理中"),R14)</f>
        <v>已截止</v>
      </c>
      <c r="T14" s="11">
        <f>IF(ISNUMBER(P14),P14-統計!$B$2,"")</f>
        <v>-109</v>
      </c>
      <c r="U14" s="23" t="s">
        <v>251</v>
      </c>
      <c r="V14" s="5" t="s">
        <v>331</v>
      </c>
      <c r="W14" s="13" t="s">
        <v>332</v>
      </c>
      <c r="X14" s="4">
        <v>15</v>
      </c>
    </row>
    <row r="15" spans="1:24" ht="57.75" customHeight="1">
      <c r="A15" s="4">
        <v>14</v>
      </c>
      <c r="B15" s="5" t="s">
        <v>241</v>
      </c>
      <c r="C15" s="5" t="s">
        <v>75</v>
      </c>
      <c r="D15" s="5" t="s">
        <v>23</v>
      </c>
      <c r="E15" s="5" t="s">
        <v>120</v>
      </c>
      <c r="F15" s="6" t="s">
        <v>333</v>
      </c>
      <c r="G15" s="7" t="str">
        <f t="shared" si="0"/>
        <v/>
      </c>
      <c r="H15" s="4" t="str">
        <f>IF(INDEX(比對結果!$G$2:$G$42,MATCH(X15,比對結果!$A$2:$A$42,0))="","",INDEX(比對結果!$G$2:$G$42,MATCH(X15,比對結果!$A$2:$A$42,0)))</f>
        <v/>
      </c>
      <c r="I15" s="7" t="s">
        <v>243</v>
      </c>
      <c r="J15" s="5" t="s">
        <v>334</v>
      </c>
      <c r="K15" s="8">
        <v>15</v>
      </c>
      <c r="L15" s="5" t="s">
        <v>335</v>
      </c>
      <c r="M15" s="5" t="s">
        <v>305</v>
      </c>
      <c r="N15" s="5" t="s">
        <v>336</v>
      </c>
      <c r="O15" s="9" t="s">
        <v>49</v>
      </c>
      <c r="P15" s="10">
        <v>46139</v>
      </c>
      <c r="Q15" s="6" t="s">
        <v>337</v>
      </c>
      <c r="R15" s="6"/>
      <c r="S15" s="4" t="str">
        <f>IF(ISNUMBER(P15),IF(P15&lt;統計!$B$2,"已截止","受理中"),R15)</f>
        <v>已截止</v>
      </c>
      <c r="T15" s="11">
        <f>IF(ISNUMBER(P15),P15-統計!$B$2,"")</f>
        <v>-176</v>
      </c>
      <c r="U15" s="23" t="s">
        <v>251</v>
      </c>
      <c r="V15" s="5" t="s">
        <v>338</v>
      </c>
      <c r="W15" s="13" t="s">
        <v>339</v>
      </c>
      <c r="X15" s="4">
        <v>16</v>
      </c>
    </row>
    <row r="16" spans="1:24" ht="57.75" customHeight="1">
      <c r="A16" s="4">
        <v>15</v>
      </c>
      <c r="B16" s="5" t="s">
        <v>241</v>
      </c>
      <c r="C16" s="5" t="s">
        <v>75</v>
      </c>
      <c r="D16" s="5" t="s">
        <v>23</v>
      </c>
      <c r="E16" s="5" t="s">
        <v>120</v>
      </c>
      <c r="F16" s="6" t="s">
        <v>340</v>
      </c>
      <c r="G16" s="7" t="str">
        <f t="shared" si="0"/>
        <v/>
      </c>
      <c r="H16" s="4" t="str">
        <f>IF(INDEX(比對結果!$G$2:$G$42,MATCH(X16,比對結果!$A$2:$A$42,0))="","",INDEX(比對結果!$G$2:$G$42,MATCH(X16,比對結果!$A$2:$A$42,0)))</f>
        <v/>
      </c>
      <c r="I16" s="7" t="s">
        <v>243</v>
      </c>
      <c r="J16" s="5" t="s">
        <v>334</v>
      </c>
      <c r="K16" s="8">
        <v>100</v>
      </c>
      <c r="L16" s="5" t="s">
        <v>341</v>
      </c>
      <c r="M16" s="5" t="s">
        <v>305</v>
      </c>
      <c r="N16" s="5" t="s">
        <v>342</v>
      </c>
      <c r="O16" s="9" t="s">
        <v>49</v>
      </c>
      <c r="P16" s="10">
        <v>46139</v>
      </c>
      <c r="Q16" s="6" t="s">
        <v>337</v>
      </c>
      <c r="R16" s="6"/>
      <c r="S16" s="4" t="str">
        <f>IF(ISNUMBER(P16),IF(P16&lt;統計!$B$2,"已截止","受理中"),R16)</f>
        <v>已截止</v>
      </c>
      <c r="T16" s="11">
        <f>IF(ISNUMBER(P16),P16-統計!$B$2,"")</f>
        <v>-176</v>
      </c>
      <c r="U16" s="23" t="s">
        <v>251</v>
      </c>
      <c r="V16" s="5" t="s">
        <v>343</v>
      </c>
      <c r="W16" s="13" t="s">
        <v>339</v>
      </c>
      <c r="X16" s="4">
        <v>17</v>
      </c>
    </row>
    <row r="17" spans="1:24" ht="43.5" customHeight="1">
      <c r="A17" s="4">
        <v>16</v>
      </c>
      <c r="B17" s="5" t="s">
        <v>241</v>
      </c>
      <c r="C17" s="5" t="s">
        <v>75</v>
      </c>
      <c r="D17" s="5" t="s">
        <v>23</v>
      </c>
      <c r="E17" s="5" t="s">
        <v>120</v>
      </c>
      <c r="F17" s="6" t="s">
        <v>344</v>
      </c>
      <c r="G17" s="7" t="str">
        <f t="shared" si="0"/>
        <v/>
      </c>
      <c r="H17" s="4" t="str">
        <f>IF(INDEX(比對結果!$G$2:$G$42,MATCH(X17,比對結果!$A$2:$A$42,0))="","",INDEX(比對結果!$G$2:$G$42,MATCH(X17,比對結果!$A$2:$A$42,0)))</f>
        <v/>
      </c>
      <c r="I17" s="7" t="s">
        <v>243</v>
      </c>
      <c r="J17" s="5" t="s">
        <v>345</v>
      </c>
      <c r="K17" s="8">
        <v>200</v>
      </c>
      <c r="L17" s="5" t="s">
        <v>346</v>
      </c>
      <c r="M17" s="5" t="s">
        <v>305</v>
      </c>
      <c r="N17" s="6" t="s">
        <v>347</v>
      </c>
      <c r="O17" s="9" t="s">
        <v>49</v>
      </c>
      <c r="P17" s="10">
        <v>46119</v>
      </c>
      <c r="Q17" s="6" t="s">
        <v>348</v>
      </c>
      <c r="R17" s="6"/>
      <c r="S17" s="4" t="str">
        <f>IF(ISNUMBER(P17),IF(P17&lt;統計!$B$2,"已截止","受理中"),R17)</f>
        <v>已截止</v>
      </c>
      <c r="T17" s="11">
        <f>IF(ISNUMBER(P17),P17-統計!$B$2,"")</f>
        <v>-196</v>
      </c>
      <c r="U17" s="23" t="s">
        <v>251</v>
      </c>
      <c r="V17" s="5" t="s">
        <v>349</v>
      </c>
      <c r="W17" s="13" t="s">
        <v>350</v>
      </c>
      <c r="X17" s="4">
        <v>18</v>
      </c>
    </row>
    <row r="18" spans="1:24" ht="242.25" customHeight="1">
      <c r="A18" s="4">
        <v>17</v>
      </c>
      <c r="B18" s="5" t="s">
        <v>241</v>
      </c>
      <c r="C18" s="5" t="s">
        <v>75</v>
      </c>
      <c r="D18" s="5" t="s">
        <v>23</v>
      </c>
      <c r="E18" s="5" t="s">
        <v>120</v>
      </c>
      <c r="F18" s="6" t="s">
        <v>351</v>
      </c>
      <c r="G18" s="7" t="str">
        <f t="shared" si="0"/>
        <v/>
      </c>
      <c r="H18" s="4" t="str">
        <f>IF(INDEX(比對結果!$G$2:$G$42,MATCH(X18,比對結果!$A$2:$A$42,0))="","",INDEX(比對結果!$G$2:$G$42,MATCH(X18,比對結果!$A$2:$A$42,0)))</f>
        <v/>
      </c>
      <c r="I18" s="7" t="s">
        <v>243</v>
      </c>
      <c r="J18" s="5" t="s">
        <v>352</v>
      </c>
      <c r="K18" s="8">
        <v>300</v>
      </c>
      <c r="L18" s="5" t="s">
        <v>353</v>
      </c>
      <c r="M18" s="5" t="s">
        <v>354</v>
      </c>
      <c r="N18" s="6" t="s">
        <v>355</v>
      </c>
      <c r="O18" s="9" t="s">
        <v>49</v>
      </c>
      <c r="P18" s="10">
        <v>46119</v>
      </c>
      <c r="Q18" s="6" t="s">
        <v>356</v>
      </c>
      <c r="R18" s="6"/>
      <c r="S18" s="4" t="str">
        <f>IF(ISNUMBER(P18),IF(P18&lt;統計!$B$2,"已截止","受理中"),R18)</f>
        <v>已截止</v>
      </c>
      <c r="T18" s="11">
        <f>IF(ISNUMBER(P18),P18-統計!$B$2,"")</f>
        <v>-196</v>
      </c>
      <c r="U18" s="23" t="s">
        <v>251</v>
      </c>
      <c r="V18" s="5" t="s">
        <v>357</v>
      </c>
      <c r="W18" s="13" t="s">
        <v>358</v>
      </c>
      <c r="X18" s="4">
        <v>19</v>
      </c>
    </row>
    <row r="19" spans="1:24" ht="43.5" customHeight="1">
      <c r="A19" s="4">
        <v>18</v>
      </c>
      <c r="B19" s="5" t="s">
        <v>241</v>
      </c>
      <c r="C19" s="5" t="s">
        <v>268</v>
      </c>
      <c r="D19" s="5" t="s">
        <v>23</v>
      </c>
      <c r="E19" s="5" t="s">
        <v>120</v>
      </c>
      <c r="F19" s="5" t="s">
        <v>359</v>
      </c>
      <c r="G19" s="7" t="str">
        <f t="shared" si="0"/>
        <v/>
      </c>
      <c r="H19" s="4" t="str">
        <f>IF(INDEX(比對結果!$G$2:$G$42,MATCH(X19,比對結果!$A$2:$A$42,0))="","",INDEX(比對結果!$G$2:$G$42,MATCH(X19,比對結果!$A$2:$A$42,0)))</f>
        <v/>
      </c>
      <c r="I19" s="7" t="s">
        <v>243</v>
      </c>
      <c r="J19" s="5" t="s">
        <v>360</v>
      </c>
      <c r="K19" s="8"/>
      <c r="L19" s="5" t="s">
        <v>272</v>
      </c>
      <c r="M19" s="5" t="s">
        <v>273</v>
      </c>
      <c r="N19" s="5" t="s">
        <v>361</v>
      </c>
      <c r="O19" s="9" t="s">
        <v>180</v>
      </c>
      <c r="P19" s="10"/>
      <c r="Q19" s="5" t="s">
        <v>275</v>
      </c>
      <c r="R19" s="5" t="s">
        <v>276</v>
      </c>
      <c r="S19" s="4" t="str">
        <f>IF(ISNUMBER(P19),IF(P19&lt;統計!$B$2,"已截止","受理中"),R19)</f>
        <v>非申請制</v>
      </c>
      <c r="T19" s="11" t="str">
        <f>IF(ISNUMBER(P19),P19-統計!$B$2,"")</f>
        <v/>
      </c>
      <c r="U19" s="23" t="s">
        <v>251</v>
      </c>
      <c r="V19" s="5" t="s">
        <v>362</v>
      </c>
      <c r="W19" s="13" t="s">
        <v>363</v>
      </c>
      <c r="X19" s="4">
        <v>20</v>
      </c>
    </row>
    <row r="20" spans="1:24" ht="156.75" customHeight="1">
      <c r="A20" s="4">
        <v>19</v>
      </c>
      <c r="B20" s="5" t="s">
        <v>241</v>
      </c>
      <c r="C20" s="5" t="s">
        <v>75</v>
      </c>
      <c r="D20" s="5" t="s">
        <v>23</v>
      </c>
      <c r="E20" s="5" t="s">
        <v>120</v>
      </c>
      <c r="F20" s="6" t="s">
        <v>364</v>
      </c>
      <c r="G20" s="7" t="str">
        <f t="shared" si="0"/>
        <v/>
      </c>
      <c r="H20" s="4" t="str">
        <f>IF(INDEX(比對結果!$G$2:$G$42,MATCH(X20,比對結果!$A$2:$A$42,0))="","",INDEX(比對結果!$G$2:$G$42,MATCH(X20,比對結果!$A$2:$A$42,0)))</f>
        <v/>
      </c>
      <c r="I20" s="7" t="s">
        <v>243</v>
      </c>
      <c r="J20" s="5" t="s">
        <v>365</v>
      </c>
      <c r="K20" s="8">
        <v>70</v>
      </c>
      <c r="L20" s="5" t="s">
        <v>366</v>
      </c>
      <c r="M20" s="5" t="s">
        <v>291</v>
      </c>
      <c r="N20" s="5" t="s">
        <v>367</v>
      </c>
      <c r="O20" s="9" t="s">
        <v>49</v>
      </c>
      <c r="P20" s="10">
        <v>46188</v>
      </c>
      <c r="Q20" s="6" t="s">
        <v>368</v>
      </c>
      <c r="R20" s="6"/>
      <c r="S20" s="4" t="str">
        <f>IF(ISNUMBER(P20),IF(P20&lt;統計!$B$2,"已截止","受理中"),R20)</f>
        <v>已截止</v>
      </c>
      <c r="T20" s="11">
        <f>IF(ISNUMBER(P20),P20-統計!$B$2,"")</f>
        <v>-127</v>
      </c>
      <c r="U20" s="23" t="s">
        <v>251</v>
      </c>
      <c r="V20" s="5" t="s">
        <v>369</v>
      </c>
      <c r="W20" s="13" t="s">
        <v>370</v>
      </c>
      <c r="X20" s="4">
        <v>21</v>
      </c>
    </row>
    <row r="21" spans="1:24" ht="171" customHeight="1">
      <c r="A21" s="4">
        <v>20</v>
      </c>
      <c r="B21" s="5" t="s">
        <v>241</v>
      </c>
      <c r="C21" s="5" t="s">
        <v>22</v>
      </c>
      <c r="D21" s="5" t="s">
        <v>23</v>
      </c>
      <c r="E21" s="5" t="s">
        <v>120</v>
      </c>
      <c r="F21" s="6" t="s">
        <v>371</v>
      </c>
      <c r="G21" s="7" t="str">
        <f t="shared" si="0"/>
        <v/>
      </c>
      <c r="H21" s="4" t="str">
        <f>IF(INDEX(比對結果!$G$2:$G$42,MATCH(X21,比對結果!$A$2:$A$42,0))="","",INDEX(比對結果!$G$2:$G$42,MATCH(X21,比對結果!$A$2:$A$42,0)))</f>
        <v/>
      </c>
      <c r="I21" s="7" t="s">
        <v>243</v>
      </c>
      <c r="J21" s="5" t="s">
        <v>372</v>
      </c>
      <c r="K21" s="8">
        <v>1200</v>
      </c>
      <c r="L21" s="5" t="s">
        <v>373</v>
      </c>
      <c r="M21" s="5" t="s">
        <v>374</v>
      </c>
      <c r="N21" s="6" t="s">
        <v>375</v>
      </c>
      <c r="O21" s="9" t="s">
        <v>30</v>
      </c>
      <c r="P21" s="10">
        <v>46052</v>
      </c>
      <c r="Q21" s="6" t="s">
        <v>376</v>
      </c>
      <c r="R21" s="6"/>
      <c r="S21" s="4" t="str">
        <f>IF(ISNUMBER(P21),IF(P21&lt;統計!$B$2,"已截止","受理中"),R21)</f>
        <v>已截止</v>
      </c>
      <c r="T21" s="11">
        <f>IF(ISNUMBER(P21),P21-統計!$B$2,"")</f>
        <v>-263</v>
      </c>
      <c r="U21" s="23" t="s">
        <v>251</v>
      </c>
      <c r="V21" s="5" t="s">
        <v>377</v>
      </c>
      <c r="W21" s="13" t="s">
        <v>378</v>
      </c>
      <c r="X21" s="4">
        <v>22</v>
      </c>
    </row>
    <row r="22" spans="1:24" ht="100.5" customHeight="1">
      <c r="A22" s="4">
        <v>21</v>
      </c>
      <c r="B22" s="5" t="s">
        <v>241</v>
      </c>
      <c r="C22" s="6" t="s">
        <v>222</v>
      </c>
      <c r="D22" s="5" t="s">
        <v>23</v>
      </c>
      <c r="E22" s="5" t="s">
        <v>120</v>
      </c>
      <c r="F22" s="6" t="s">
        <v>379</v>
      </c>
      <c r="G22" s="7" t="str">
        <f t="shared" si="0"/>
        <v/>
      </c>
      <c r="H22" s="4" t="str">
        <f>IF(INDEX(比對結果!$G$2:$G$42,MATCH(X22,比對結果!$A$2:$A$42,0))="","",INDEX(比對結果!$G$2:$G$42,MATCH(X22,比對結果!$A$2:$A$42,0)))</f>
        <v/>
      </c>
      <c r="I22" s="7" t="s">
        <v>243</v>
      </c>
      <c r="J22" s="5" t="s">
        <v>380</v>
      </c>
      <c r="K22" s="8"/>
      <c r="L22" s="5" t="s">
        <v>298</v>
      </c>
      <c r="M22" s="5" t="s">
        <v>381</v>
      </c>
      <c r="N22" s="5" t="s">
        <v>382</v>
      </c>
      <c r="O22" s="9" t="s">
        <v>30</v>
      </c>
      <c r="P22" s="10">
        <v>46356</v>
      </c>
      <c r="Q22" s="6" t="s">
        <v>383</v>
      </c>
      <c r="R22" s="6"/>
      <c r="S22" s="4" t="str">
        <f>IF(ISNUMBER(P22),IF(P22&lt;統計!$B$2,"已截止","受理中"),R22)</f>
        <v>受理中</v>
      </c>
      <c r="T22" s="11">
        <f>IF(ISNUMBER(P22),P22-統計!$B$2,"")</f>
        <v>41</v>
      </c>
      <c r="U22" s="23" t="s">
        <v>251</v>
      </c>
      <c r="V22" s="5" t="s">
        <v>384</v>
      </c>
      <c r="W22" s="6"/>
      <c r="X22" s="4">
        <v>23</v>
      </c>
    </row>
    <row r="23" spans="1:24" ht="72" customHeight="1">
      <c r="A23" s="4">
        <v>22</v>
      </c>
      <c r="B23" s="5" t="s">
        <v>241</v>
      </c>
      <c r="C23" s="5" t="s">
        <v>22</v>
      </c>
      <c r="D23" s="5" t="s">
        <v>23</v>
      </c>
      <c r="E23" s="5" t="s">
        <v>59</v>
      </c>
      <c r="F23" s="5" t="s">
        <v>385</v>
      </c>
      <c r="G23" s="7" t="str">
        <f t="shared" si="0"/>
        <v/>
      </c>
      <c r="H23" s="4" t="str">
        <f>IF(INDEX(比對結果!$G$2:$G$42,MATCH(X23,比對結果!$A$2:$A$42,0))="","",INDEX(比對結果!$G$2:$G$42,MATCH(X23,比對結果!$A$2:$A$42,0)))</f>
        <v/>
      </c>
      <c r="I23" s="7" t="s">
        <v>243</v>
      </c>
      <c r="J23" s="5" t="s">
        <v>386</v>
      </c>
      <c r="K23" s="8">
        <v>1000</v>
      </c>
      <c r="L23" s="5" t="s">
        <v>387</v>
      </c>
      <c r="M23" s="5" t="s">
        <v>388</v>
      </c>
      <c r="N23" s="5" t="s">
        <v>389</v>
      </c>
      <c r="O23" s="9" t="s">
        <v>30</v>
      </c>
      <c r="P23" s="10">
        <v>46062</v>
      </c>
      <c r="Q23" s="5" t="s">
        <v>390</v>
      </c>
      <c r="R23" s="6"/>
      <c r="S23" s="4" t="str">
        <f>IF(ISNUMBER(P23),IF(P23&lt;統計!$B$2,"已截止","受理中"),R23)</f>
        <v>已截止</v>
      </c>
      <c r="T23" s="11">
        <f>IF(ISNUMBER(P23),P23-統計!$B$2,"")</f>
        <v>-253</v>
      </c>
      <c r="U23" s="23" t="s">
        <v>251</v>
      </c>
      <c r="V23" s="5" t="s">
        <v>391</v>
      </c>
      <c r="W23" s="13" t="s">
        <v>392</v>
      </c>
      <c r="X23" s="4">
        <v>24</v>
      </c>
    </row>
    <row r="24" spans="1:24" ht="29.25" customHeight="1">
      <c r="A24" s="16">
        <v>23</v>
      </c>
      <c r="B24" s="17" t="s">
        <v>241</v>
      </c>
      <c r="C24" s="18"/>
      <c r="D24" s="17" t="s">
        <v>23</v>
      </c>
      <c r="E24" s="17" t="s">
        <v>59</v>
      </c>
      <c r="F24" s="17" t="s">
        <v>393</v>
      </c>
      <c r="G24" s="19" t="str">
        <f t="shared" si="0"/>
        <v>✓</v>
      </c>
      <c r="H24" s="16">
        <f>IF(INDEX(比對結果!$G$2:$G$42,MATCH(X24,比對結果!$A$2:$A$42,0))="","",INDEX(比對結果!$G$2:$G$42,MATCH(X24,比對結果!$A$2:$A$42,0)))</f>
        <v>6</v>
      </c>
      <c r="I24" s="19" t="s">
        <v>243</v>
      </c>
      <c r="J24" s="18"/>
      <c r="K24" s="20"/>
      <c r="L24" s="18"/>
      <c r="M24" s="18"/>
      <c r="N24" s="18"/>
      <c r="O24" s="16"/>
      <c r="P24" s="21"/>
      <c r="Q24" s="18"/>
      <c r="R24" s="18"/>
      <c r="S24" s="16"/>
      <c r="T24" s="22"/>
      <c r="U24" s="16"/>
      <c r="V24" s="17" t="s">
        <v>244</v>
      </c>
      <c r="W24" s="18"/>
      <c r="X24" s="16">
        <v>25</v>
      </c>
    </row>
    <row r="25" spans="1:24" ht="57.75" customHeight="1">
      <c r="A25" s="4">
        <v>24</v>
      </c>
      <c r="B25" s="5" t="s">
        <v>241</v>
      </c>
      <c r="C25" s="5" t="s">
        <v>75</v>
      </c>
      <c r="D25" s="5" t="s">
        <v>23</v>
      </c>
      <c r="E25" s="5" t="s">
        <v>59</v>
      </c>
      <c r="F25" s="5" t="s">
        <v>394</v>
      </c>
      <c r="G25" s="7" t="str">
        <f t="shared" si="0"/>
        <v/>
      </c>
      <c r="H25" s="4" t="str">
        <f>IF(INDEX(比對結果!$G$2:$G$42,MATCH(X25,比對結果!$A$2:$A$42,0))="","",INDEX(比對結果!$G$2:$G$42,MATCH(X25,比對結果!$A$2:$A$42,0)))</f>
        <v/>
      </c>
      <c r="I25" s="7" t="s">
        <v>243</v>
      </c>
      <c r="J25" s="5" t="s">
        <v>395</v>
      </c>
      <c r="K25" s="8">
        <v>60</v>
      </c>
      <c r="L25" s="5" t="s">
        <v>396</v>
      </c>
      <c r="M25" s="5" t="s">
        <v>115</v>
      </c>
      <c r="N25" s="5" t="s">
        <v>397</v>
      </c>
      <c r="O25" s="9" t="s">
        <v>49</v>
      </c>
      <c r="P25" s="10">
        <v>46014</v>
      </c>
      <c r="Q25" s="6" t="s">
        <v>398</v>
      </c>
      <c r="R25" s="6"/>
      <c r="S25" s="4" t="str">
        <f>IF(ISNUMBER(P25),IF(P25&lt;統計!$B$2,"已截止","受理中"),R25)</f>
        <v>已截止</v>
      </c>
      <c r="T25" s="11">
        <f>IF(ISNUMBER(P25),P25-統計!$B$2,"")</f>
        <v>-301</v>
      </c>
      <c r="U25" s="23" t="s">
        <v>251</v>
      </c>
      <c r="V25" s="5" t="s">
        <v>399</v>
      </c>
      <c r="W25" s="13" t="s">
        <v>400</v>
      </c>
      <c r="X25" s="4">
        <v>26</v>
      </c>
    </row>
    <row r="26" spans="1:24" ht="57.75" customHeight="1">
      <c r="A26" s="4">
        <v>25</v>
      </c>
      <c r="B26" s="5" t="s">
        <v>241</v>
      </c>
      <c r="C26" s="5" t="s">
        <v>75</v>
      </c>
      <c r="D26" s="5" t="s">
        <v>23</v>
      </c>
      <c r="E26" s="5" t="s">
        <v>59</v>
      </c>
      <c r="F26" s="5" t="s">
        <v>401</v>
      </c>
      <c r="G26" s="7" t="str">
        <f t="shared" si="0"/>
        <v/>
      </c>
      <c r="H26" s="4" t="str">
        <f>IF(INDEX(比對結果!$G$2:$G$42,MATCH(X26,比對結果!$A$2:$A$42,0))="","",INDEX(比對結果!$G$2:$G$42,MATCH(X26,比對結果!$A$2:$A$42,0)))</f>
        <v/>
      </c>
      <c r="I26" s="7" t="s">
        <v>243</v>
      </c>
      <c r="J26" s="5" t="s">
        <v>402</v>
      </c>
      <c r="K26" s="8">
        <v>40</v>
      </c>
      <c r="L26" s="5" t="s">
        <v>403</v>
      </c>
      <c r="M26" s="5" t="s">
        <v>115</v>
      </c>
      <c r="N26" s="5" t="s">
        <v>397</v>
      </c>
      <c r="O26" s="9" t="s">
        <v>49</v>
      </c>
      <c r="P26" s="10">
        <v>46014</v>
      </c>
      <c r="Q26" s="6" t="s">
        <v>398</v>
      </c>
      <c r="R26" s="6"/>
      <c r="S26" s="4" t="str">
        <f>IF(ISNUMBER(P26),IF(P26&lt;統計!$B$2,"已截止","受理中"),R26)</f>
        <v>已截止</v>
      </c>
      <c r="T26" s="11">
        <f>IF(ISNUMBER(P26),P26-統計!$B$2,"")</f>
        <v>-301</v>
      </c>
      <c r="U26" s="23" t="s">
        <v>251</v>
      </c>
      <c r="V26" s="5" t="s">
        <v>404</v>
      </c>
      <c r="W26" s="13" t="s">
        <v>400</v>
      </c>
      <c r="X26" s="4">
        <v>27</v>
      </c>
    </row>
    <row r="27" spans="1:24" ht="43.5" customHeight="1">
      <c r="A27" s="4">
        <v>26</v>
      </c>
      <c r="B27" s="5" t="s">
        <v>241</v>
      </c>
      <c r="C27" s="5" t="s">
        <v>75</v>
      </c>
      <c r="D27" s="5" t="s">
        <v>23</v>
      </c>
      <c r="E27" s="5" t="s">
        <v>59</v>
      </c>
      <c r="F27" s="5" t="s">
        <v>405</v>
      </c>
      <c r="G27" s="7" t="str">
        <f t="shared" si="0"/>
        <v/>
      </c>
      <c r="H27" s="4" t="str">
        <f>IF(INDEX(比對結果!$G$2:$G$42,MATCH(X27,比對結果!$A$2:$A$42,0))="","",INDEX(比對結果!$G$2:$G$42,MATCH(X27,比對結果!$A$2:$A$42,0)))</f>
        <v/>
      </c>
      <c r="I27" s="7" t="s">
        <v>243</v>
      </c>
      <c r="J27" s="5" t="s">
        <v>406</v>
      </c>
      <c r="K27" s="8"/>
      <c r="L27" s="5" t="s">
        <v>407</v>
      </c>
      <c r="M27" s="5" t="s">
        <v>115</v>
      </c>
      <c r="N27" s="5" t="s">
        <v>408</v>
      </c>
      <c r="O27" s="9" t="s">
        <v>49</v>
      </c>
      <c r="P27" s="10">
        <v>46203</v>
      </c>
      <c r="Q27" s="6" t="s">
        <v>409</v>
      </c>
      <c r="R27" s="6"/>
      <c r="S27" s="4" t="str">
        <f>IF(ISNUMBER(P27),IF(P27&lt;統計!$B$2,"已截止","受理中"),R27)</f>
        <v>已截止</v>
      </c>
      <c r="T27" s="11">
        <f>IF(ISNUMBER(P27),P27-統計!$B$2,"")</f>
        <v>-112</v>
      </c>
      <c r="U27" s="23" t="s">
        <v>251</v>
      </c>
      <c r="V27" s="5" t="s">
        <v>410</v>
      </c>
      <c r="W27" s="13" t="s">
        <v>411</v>
      </c>
      <c r="X27" s="4">
        <v>28</v>
      </c>
    </row>
    <row r="28" spans="1:24" ht="72" customHeight="1">
      <c r="A28" s="4">
        <v>27</v>
      </c>
      <c r="B28" s="5" t="s">
        <v>241</v>
      </c>
      <c r="C28" s="5" t="s">
        <v>22</v>
      </c>
      <c r="D28" s="5" t="s">
        <v>23</v>
      </c>
      <c r="E28" s="5" t="s">
        <v>59</v>
      </c>
      <c r="F28" s="5" t="s">
        <v>412</v>
      </c>
      <c r="G28" s="7" t="str">
        <f t="shared" si="0"/>
        <v/>
      </c>
      <c r="H28" s="4" t="str">
        <f>IF(INDEX(比對結果!$G$2:$G$42,MATCH(X28,比對結果!$A$2:$A$42,0))="","",INDEX(比對結果!$G$2:$G$42,MATCH(X28,比對結果!$A$2:$A$42,0)))</f>
        <v/>
      </c>
      <c r="I28" s="7" t="s">
        <v>243</v>
      </c>
      <c r="J28" s="5" t="s">
        <v>413</v>
      </c>
      <c r="K28" s="8">
        <v>800</v>
      </c>
      <c r="L28" s="5" t="s">
        <v>414</v>
      </c>
      <c r="M28" s="5" t="s">
        <v>89</v>
      </c>
      <c r="N28" s="5" t="s">
        <v>415</v>
      </c>
      <c r="O28" s="9" t="s">
        <v>49</v>
      </c>
      <c r="P28" s="10">
        <v>46139</v>
      </c>
      <c r="Q28" s="5" t="s">
        <v>416</v>
      </c>
      <c r="R28" s="6"/>
      <c r="S28" s="4" t="str">
        <f>IF(ISNUMBER(P28),IF(P28&lt;統計!$B$2,"已截止","受理中"),R28)</f>
        <v>已截止</v>
      </c>
      <c r="T28" s="11">
        <f>IF(ISNUMBER(P28),P28-統計!$B$2,"")</f>
        <v>-176</v>
      </c>
      <c r="U28" s="23" t="s">
        <v>251</v>
      </c>
      <c r="V28" s="5" t="s">
        <v>417</v>
      </c>
      <c r="W28" s="13" t="s">
        <v>418</v>
      </c>
      <c r="X28" s="4">
        <v>29</v>
      </c>
    </row>
    <row r="29" spans="1:24" ht="72" customHeight="1">
      <c r="A29" s="4">
        <v>28</v>
      </c>
      <c r="B29" s="5" t="s">
        <v>241</v>
      </c>
      <c r="C29" s="5" t="s">
        <v>75</v>
      </c>
      <c r="D29" s="5" t="s">
        <v>23</v>
      </c>
      <c r="E29" s="5" t="s">
        <v>59</v>
      </c>
      <c r="F29" s="5" t="s">
        <v>419</v>
      </c>
      <c r="G29" s="7" t="str">
        <f t="shared" si="0"/>
        <v/>
      </c>
      <c r="H29" s="4" t="str">
        <f>IF(INDEX(比對結果!$G$2:$G$42,MATCH(X29,比對結果!$A$2:$A$42,0))="","",INDEX(比對結果!$G$2:$G$42,MATCH(X29,比對結果!$A$2:$A$42,0)))</f>
        <v/>
      </c>
      <c r="I29" s="7" t="s">
        <v>243</v>
      </c>
      <c r="J29" s="5" t="s">
        <v>420</v>
      </c>
      <c r="K29" s="8">
        <v>75</v>
      </c>
      <c r="L29" s="5" t="s">
        <v>421</v>
      </c>
      <c r="M29" s="5" t="s">
        <v>422</v>
      </c>
      <c r="N29" s="5" t="s">
        <v>415</v>
      </c>
      <c r="O29" s="9" t="s">
        <v>49</v>
      </c>
      <c r="P29" s="10"/>
      <c r="Q29" s="5" t="s">
        <v>423</v>
      </c>
      <c r="R29" s="5" t="s">
        <v>41</v>
      </c>
      <c r="S29" s="4" t="str">
        <f>IF(ISNUMBER(P29),IF(P29&lt;統計!$B$2,"已截止","受理中"),R29)</f>
        <v>未確認</v>
      </c>
      <c r="T29" s="11" t="str">
        <f>IF(ISNUMBER(P29),P29-統計!$B$2,"")</f>
        <v/>
      </c>
      <c r="U29" s="23" t="s">
        <v>251</v>
      </c>
      <c r="V29" s="5" t="s">
        <v>424</v>
      </c>
      <c r="W29" s="13" t="s">
        <v>425</v>
      </c>
      <c r="X29" s="4">
        <v>30</v>
      </c>
    </row>
    <row r="30" spans="1:24" ht="86.25" customHeight="1">
      <c r="A30" s="4">
        <v>29</v>
      </c>
      <c r="B30" s="5" t="s">
        <v>241</v>
      </c>
      <c r="C30" s="5" t="s">
        <v>75</v>
      </c>
      <c r="D30" s="5" t="s">
        <v>23</v>
      </c>
      <c r="E30" s="5" t="s">
        <v>59</v>
      </c>
      <c r="F30" s="5" t="s">
        <v>426</v>
      </c>
      <c r="G30" s="7" t="str">
        <f t="shared" si="0"/>
        <v/>
      </c>
      <c r="H30" s="4" t="str">
        <f>IF(INDEX(比對結果!$G$2:$G$42,MATCH(X30,比對結果!$A$2:$A$42,0))="","",INDEX(比對結果!$G$2:$G$42,MATCH(X30,比對結果!$A$2:$A$42,0)))</f>
        <v/>
      </c>
      <c r="I30" s="7" t="s">
        <v>243</v>
      </c>
      <c r="J30" s="5" t="s">
        <v>427</v>
      </c>
      <c r="K30" s="8">
        <v>50</v>
      </c>
      <c r="L30" s="6" t="s">
        <v>428</v>
      </c>
      <c r="M30" s="5" t="s">
        <v>422</v>
      </c>
      <c r="N30" s="5" t="s">
        <v>415</v>
      </c>
      <c r="O30" s="9" t="s">
        <v>49</v>
      </c>
      <c r="P30" s="10"/>
      <c r="Q30" s="5" t="s">
        <v>429</v>
      </c>
      <c r="R30" s="5" t="s">
        <v>82</v>
      </c>
      <c r="S30" s="4" t="str">
        <f>IF(ISNUMBER(P30),IF(P30&lt;統計!$B$2,"已截止","受理中"),R30)</f>
        <v>常態開放</v>
      </c>
      <c r="T30" s="11" t="str">
        <f>IF(ISNUMBER(P30),P30-統計!$B$2,"")</f>
        <v/>
      </c>
      <c r="U30" s="23" t="s">
        <v>251</v>
      </c>
      <c r="V30" s="5" t="s">
        <v>430</v>
      </c>
      <c r="W30" s="13" t="s">
        <v>431</v>
      </c>
      <c r="X30" s="4">
        <v>31</v>
      </c>
    </row>
    <row r="31" spans="1:24" ht="72" customHeight="1">
      <c r="A31" s="4">
        <v>30</v>
      </c>
      <c r="B31" s="5" t="s">
        <v>241</v>
      </c>
      <c r="C31" s="5" t="s">
        <v>75</v>
      </c>
      <c r="D31" s="5" t="s">
        <v>23</v>
      </c>
      <c r="E31" s="5" t="s">
        <v>59</v>
      </c>
      <c r="F31" s="5" t="s">
        <v>432</v>
      </c>
      <c r="G31" s="7" t="str">
        <f t="shared" si="0"/>
        <v/>
      </c>
      <c r="H31" s="4" t="str">
        <f>IF(INDEX(比對結果!$G$2:$G$42,MATCH(X31,比對結果!$A$2:$A$42,0))="","",INDEX(比對結果!$G$2:$G$42,MATCH(X31,比對結果!$A$2:$A$42,0)))</f>
        <v/>
      </c>
      <c r="I31" s="7" t="s">
        <v>243</v>
      </c>
      <c r="J31" s="5" t="s">
        <v>427</v>
      </c>
      <c r="K31" s="8">
        <v>75</v>
      </c>
      <c r="L31" s="5" t="s">
        <v>433</v>
      </c>
      <c r="M31" s="5" t="s">
        <v>422</v>
      </c>
      <c r="N31" s="5" t="s">
        <v>434</v>
      </c>
      <c r="O31" s="9" t="s">
        <v>49</v>
      </c>
      <c r="P31" s="10">
        <v>46096</v>
      </c>
      <c r="Q31" s="5" t="s">
        <v>435</v>
      </c>
      <c r="R31" s="6"/>
      <c r="S31" s="4" t="str">
        <f>IF(ISNUMBER(P31),IF(P31&lt;統計!$B$2,"已截止","受理中"),R31)</f>
        <v>已截止</v>
      </c>
      <c r="T31" s="11">
        <f>IF(ISNUMBER(P31),P31-統計!$B$2,"")</f>
        <v>-219</v>
      </c>
      <c r="U31" s="23" t="s">
        <v>251</v>
      </c>
      <c r="V31" s="5" t="s">
        <v>436</v>
      </c>
      <c r="W31" s="13" t="s">
        <v>437</v>
      </c>
      <c r="X31" s="4">
        <v>32</v>
      </c>
    </row>
    <row r="32" spans="1:24" ht="57.75" customHeight="1">
      <c r="A32" s="4">
        <v>31</v>
      </c>
      <c r="B32" s="5" t="s">
        <v>241</v>
      </c>
      <c r="C32" s="5" t="s">
        <v>75</v>
      </c>
      <c r="D32" s="5" t="s">
        <v>23</v>
      </c>
      <c r="E32" s="5" t="s">
        <v>59</v>
      </c>
      <c r="F32" s="5" t="s">
        <v>438</v>
      </c>
      <c r="G32" s="7" t="str">
        <f t="shared" si="0"/>
        <v/>
      </c>
      <c r="H32" s="4" t="str">
        <f>IF(INDEX(比對結果!$G$2:$G$42,MATCH(X32,比對結果!$A$2:$A$42,0))="","",INDEX(比對結果!$G$2:$G$42,MATCH(X32,比對結果!$A$2:$A$42,0)))</f>
        <v/>
      </c>
      <c r="I32" s="7" t="s">
        <v>243</v>
      </c>
      <c r="J32" s="5" t="s">
        <v>439</v>
      </c>
      <c r="K32" s="8"/>
      <c r="L32" s="5" t="s">
        <v>440</v>
      </c>
      <c r="M32" s="5" t="s">
        <v>422</v>
      </c>
      <c r="N32" s="5" t="s">
        <v>441</v>
      </c>
      <c r="O32" s="9" t="s">
        <v>49</v>
      </c>
      <c r="P32" s="10"/>
      <c r="Q32" s="5" t="s">
        <v>442</v>
      </c>
      <c r="R32" s="5" t="s">
        <v>82</v>
      </c>
      <c r="S32" s="4" t="str">
        <f>IF(ISNUMBER(P32),IF(P32&lt;統計!$B$2,"已截止","受理中"),R32)</f>
        <v>常態開放</v>
      </c>
      <c r="T32" s="11" t="str">
        <f>IF(ISNUMBER(P32),P32-統計!$B$2,"")</f>
        <v/>
      </c>
      <c r="U32" s="23" t="s">
        <v>251</v>
      </c>
      <c r="V32" s="5" t="s">
        <v>443</v>
      </c>
      <c r="W32" s="6"/>
      <c r="X32" s="4">
        <v>33</v>
      </c>
    </row>
    <row r="33" spans="1:24" ht="72" customHeight="1">
      <c r="A33" s="4">
        <v>32</v>
      </c>
      <c r="B33" s="5" t="s">
        <v>241</v>
      </c>
      <c r="C33" s="5" t="s">
        <v>75</v>
      </c>
      <c r="D33" s="5" t="s">
        <v>23</v>
      </c>
      <c r="E33" s="5" t="s">
        <v>59</v>
      </c>
      <c r="F33" s="5" t="s">
        <v>444</v>
      </c>
      <c r="G33" s="7" t="str">
        <f t="shared" si="0"/>
        <v/>
      </c>
      <c r="H33" s="4" t="str">
        <f>IF(INDEX(比對結果!$G$2:$G$42,MATCH(X33,比對結果!$A$2:$A$42,0))="","",INDEX(比對結果!$G$2:$G$42,MATCH(X33,比對結果!$A$2:$A$42,0)))</f>
        <v/>
      </c>
      <c r="I33" s="7" t="s">
        <v>243</v>
      </c>
      <c r="J33" s="5" t="s">
        <v>445</v>
      </c>
      <c r="K33" s="8">
        <v>250</v>
      </c>
      <c r="L33" s="5" t="s">
        <v>446</v>
      </c>
      <c r="M33" s="5" t="s">
        <v>422</v>
      </c>
      <c r="N33" s="5" t="s">
        <v>447</v>
      </c>
      <c r="O33" s="9" t="s">
        <v>49</v>
      </c>
      <c r="P33" s="10"/>
      <c r="Q33" s="5" t="s">
        <v>448</v>
      </c>
      <c r="R33" s="5" t="s">
        <v>41</v>
      </c>
      <c r="S33" s="4" t="str">
        <f>IF(ISNUMBER(P33),IF(P33&lt;統計!$B$2,"已截止","受理中"),R33)</f>
        <v>未確認</v>
      </c>
      <c r="T33" s="11" t="str">
        <f>IF(ISNUMBER(P33),P33-統計!$B$2,"")</f>
        <v/>
      </c>
      <c r="U33" s="23" t="s">
        <v>251</v>
      </c>
      <c r="V33" s="5" t="s">
        <v>449</v>
      </c>
      <c r="W33" s="13" t="s">
        <v>450</v>
      </c>
      <c r="X33" s="4">
        <v>34</v>
      </c>
    </row>
    <row r="34" spans="1:24" ht="72" customHeight="1">
      <c r="A34" s="4">
        <v>33</v>
      </c>
      <c r="B34" s="5" t="s">
        <v>241</v>
      </c>
      <c r="C34" s="5" t="s">
        <v>75</v>
      </c>
      <c r="D34" s="5" t="s">
        <v>23</v>
      </c>
      <c r="E34" s="5" t="s">
        <v>59</v>
      </c>
      <c r="F34" s="5" t="s">
        <v>451</v>
      </c>
      <c r="G34" s="7" t="str">
        <f t="shared" si="0"/>
        <v/>
      </c>
      <c r="H34" s="4" t="str">
        <f>IF(INDEX(比對結果!$G$2:$G$42,MATCH(X34,比對結果!$A$2:$A$42,0))="","",INDEX(比對結果!$G$2:$G$42,MATCH(X34,比對結果!$A$2:$A$42,0)))</f>
        <v/>
      </c>
      <c r="I34" s="7" t="s">
        <v>243</v>
      </c>
      <c r="J34" s="5" t="s">
        <v>452</v>
      </c>
      <c r="K34" s="8"/>
      <c r="L34" s="5" t="s">
        <v>453</v>
      </c>
      <c r="M34" s="5" t="s">
        <v>422</v>
      </c>
      <c r="N34" s="5" t="s">
        <v>454</v>
      </c>
      <c r="O34" s="9" t="s">
        <v>49</v>
      </c>
      <c r="P34" s="10"/>
      <c r="Q34" s="5" t="s">
        <v>455</v>
      </c>
      <c r="R34" s="5" t="s">
        <v>82</v>
      </c>
      <c r="S34" s="4" t="str">
        <f>IF(ISNUMBER(P34),IF(P34&lt;統計!$B$2,"已截止","受理中"),R34)</f>
        <v>常態開放</v>
      </c>
      <c r="T34" s="11" t="str">
        <f>IF(ISNUMBER(P34),P34-統計!$B$2,"")</f>
        <v/>
      </c>
      <c r="U34" s="23" t="s">
        <v>251</v>
      </c>
      <c r="V34" s="5" t="s">
        <v>456</v>
      </c>
      <c r="W34" s="13" t="s">
        <v>457</v>
      </c>
      <c r="X34" s="4">
        <v>35</v>
      </c>
    </row>
    <row r="35" spans="1:24" ht="43.5" customHeight="1">
      <c r="A35" s="4">
        <v>34</v>
      </c>
      <c r="B35" s="5" t="s">
        <v>241</v>
      </c>
      <c r="C35" s="5" t="s">
        <v>22</v>
      </c>
      <c r="D35" s="5" t="s">
        <v>23</v>
      </c>
      <c r="E35" s="5" t="s">
        <v>102</v>
      </c>
      <c r="F35" s="5" t="s">
        <v>458</v>
      </c>
      <c r="G35" s="7" t="str">
        <f t="shared" si="0"/>
        <v/>
      </c>
      <c r="H35" s="4" t="str">
        <f>IF(INDEX(比對結果!$G$2:$G$42,MATCH(X35,比對結果!$A$2:$A$42,0))="","",INDEX(比對結果!$G$2:$G$42,MATCH(X35,比對結果!$A$2:$A$42,0)))</f>
        <v/>
      </c>
      <c r="I35" s="7" t="s">
        <v>243</v>
      </c>
      <c r="J35" s="5" t="s">
        <v>459</v>
      </c>
      <c r="K35" s="8"/>
      <c r="L35" s="5" t="s">
        <v>460</v>
      </c>
      <c r="M35" s="5" t="s">
        <v>388</v>
      </c>
      <c r="N35" s="5" t="s">
        <v>461</v>
      </c>
      <c r="O35" s="9" t="s">
        <v>49</v>
      </c>
      <c r="P35" s="10"/>
      <c r="Q35" s="5" t="s">
        <v>462</v>
      </c>
      <c r="R35" s="5" t="s">
        <v>41</v>
      </c>
      <c r="S35" s="4" t="str">
        <f>IF(ISNUMBER(P35),IF(P35&lt;統計!$B$2,"已截止","受理中"),R35)</f>
        <v>未確認</v>
      </c>
      <c r="T35" s="11" t="str">
        <f>IF(ISNUMBER(P35),P35-統計!$B$2,"")</f>
        <v/>
      </c>
      <c r="U35" s="23" t="s">
        <v>251</v>
      </c>
      <c r="V35" s="5" t="s">
        <v>463</v>
      </c>
      <c r="W35" s="13" t="s">
        <v>464</v>
      </c>
      <c r="X35" s="4">
        <v>36</v>
      </c>
    </row>
    <row r="36" spans="1:24" ht="43.5" customHeight="1">
      <c r="A36" s="4">
        <v>35</v>
      </c>
      <c r="B36" s="5" t="s">
        <v>241</v>
      </c>
      <c r="C36" s="5" t="s">
        <v>22</v>
      </c>
      <c r="D36" s="5" t="s">
        <v>23</v>
      </c>
      <c r="E36" s="5" t="s">
        <v>102</v>
      </c>
      <c r="F36" s="5" t="s">
        <v>465</v>
      </c>
      <c r="G36" s="7" t="str">
        <f t="shared" si="0"/>
        <v/>
      </c>
      <c r="H36" s="4" t="str">
        <f>IF(INDEX(比對結果!$G$2:$G$42,MATCH(X36,比對結果!$A$2:$A$42,0))="","",INDEX(比對結果!$G$2:$G$42,MATCH(X36,比對結果!$A$2:$A$42,0)))</f>
        <v/>
      </c>
      <c r="I36" s="7" t="s">
        <v>243</v>
      </c>
      <c r="J36" s="5" t="s">
        <v>466</v>
      </c>
      <c r="K36" s="8">
        <v>700</v>
      </c>
      <c r="L36" s="5" t="s">
        <v>467</v>
      </c>
      <c r="M36" s="5" t="s">
        <v>388</v>
      </c>
      <c r="N36" s="5" t="s">
        <v>468</v>
      </c>
      <c r="O36" s="9" t="s">
        <v>49</v>
      </c>
      <c r="P36" s="10">
        <v>46000</v>
      </c>
      <c r="Q36" s="5" t="s">
        <v>469</v>
      </c>
      <c r="R36" s="6"/>
      <c r="S36" s="4" t="str">
        <f>IF(ISNUMBER(P36),IF(P36&lt;統計!$B$2,"已截止","受理中"),R36)</f>
        <v>已截止</v>
      </c>
      <c r="T36" s="11">
        <f>IF(ISNUMBER(P36),P36-統計!$B$2,"")</f>
        <v>-315</v>
      </c>
      <c r="U36" s="23" t="s">
        <v>251</v>
      </c>
      <c r="V36" s="5" t="s">
        <v>470</v>
      </c>
      <c r="W36" s="13" t="s">
        <v>471</v>
      </c>
      <c r="X36" s="4">
        <v>37</v>
      </c>
    </row>
    <row r="37" spans="1:24" ht="43.5" customHeight="1">
      <c r="A37" s="4">
        <v>36</v>
      </c>
      <c r="B37" s="5" t="s">
        <v>241</v>
      </c>
      <c r="C37" s="5" t="s">
        <v>75</v>
      </c>
      <c r="D37" s="5" t="s">
        <v>23</v>
      </c>
      <c r="E37" s="5" t="s">
        <v>102</v>
      </c>
      <c r="F37" s="6" t="s">
        <v>472</v>
      </c>
      <c r="G37" s="7" t="str">
        <f t="shared" si="0"/>
        <v/>
      </c>
      <c r="H37" s="4" t="str">
        <f>IF(INDEX(比對結果!$G$2:$G$42,MATCH(X37,比對結果!$A$2:$A$42,0))="","",INDEX(比對結果!$G$2:$G$42,MATCH(X37,比對結果!$A$2:$A$42,0)))</f>
        <v/>
      </c>
      <c r="I37" s="7" t="s">
        <v>243</v>
      </c>
      <c r="J37" s="5" t="s">
        <v>473</v>
      </c>
      <c r="K37" s="8"/>
      <c r="L37" s="5" t="s">
        <v>474</v>
      </c>
      <c r="M37" s="5" t="s">
        <v>422</v>
      </c>
      <c r="N37" s="5" t="s">
        <v>475</v>
      </c>
      <c r="O37" s="9" t="s">
        <v>49</v>
      </c>
      <c r="P37" s="10">
        <v>46127</v>
      </c>
      <c r="Q37" s="5" t="s">
        <v>476</v>
      </c>
      <c r="R37" s="6"/>
      <c r="S37" s="4" t="str">
        <f>IF(ISNUMBER(P37),IF(P37&lt;統計!$B$2,"已截止","受理中"),R37)</f>
        <v>已截止</v>
      </c>
      <c r="T37" s="11">
        <f>IF(ISNUMBER(P37),P37-統計!$B$2,"")</f>
        <v>-188</v>
      </c>
      <c r="U37" s="23" t="s">
        <v>251</v>
      </c>
      <c r="V37" s="5" t="s">
        <v>477</v>
      </c>
      <c r="W37" s="13" t="s">
        <v>478</v>
      </c>
      <c r="X37" s="4">
        <v>38</v>
      </c>
    </row>
    <row r="38" spans="1:24" ht="43.5" customHeight="1">
      <c r="A38" s="4">
        <v>37</v>
      </c>
      <c r="B38" s="5" t="s">
        <v>241</v>
      </c>
      <c r="C38" s="5" t="s">
        <v>268</v>
      </c>
      <c r="D38" s="5" t="s">
        <v>23</v>
      </c>
      <c r="E38" s="5" t="s">
        <v>102</v>
      </c>
      <c r="F38" s="5" t="s">
        <v>479</v>
      </c>
      <c r="G38" s="7" t="str">
        <f t="shared" si="0"/>
        <v/>
      </c>
      <c r="H38" s="4" t="str">
        <f>IF(INDEX(比對結果!$G$2:$G$42,MATCH(X38,比對結果!$A$2:$A$42,0))="","",INDEX(比對結果!$G$2:$G$42,MATCH(X38,比對結果!$A$2:$A$42,0)))</f>
        <v/>
      </c>
      <c r="I38" s="7" t="s">
        <v>243</v>
      </c>
      <c r="J38" s="5" t="s">
        <v>480</v>
      </c>
      <c r="K38" s="8"/>
      <c r="L38" s="5" t="s">
        <v>272</v>
      </c>
      <c r="M38" s="5" t="s">
        <v>273</v>
      </c>
      <c r="N38" s="5" t="s">
        <v>361</v>
      </c>
      <c r="O38" s="9" t="s">
        <v>180</v>
      </c>
      <c r="P38" s="10"/>
      <c r="Q38" s="5" t="s">
        <v>275</v>
      </c>
      <c r="R38" s="5" t="s">
        <v>276</v>
      </c>
      <c r="S38" s="4" t="str">
        <f>IF(ISNUMBER(P38),IF(P38&lt;統計!$B$2,"已截止","受理中"),R38)</f>
        <v>非申請制</v>
      </c>
      <c r="T38" s="11" t="str">
        <f>IF(ISNUMBER(P38),P38-統計!$B$2,"")</f>
        <v/>
      </c>
      <c r="U38" s="23" t="s">
        <v>251</v>
      </c>
      <c r="V38" s="5" t="s">
        <v>362</v>
      </c>
      <c r="W38" s="13" t="s">
        <v>481</v>
      </c>
      <c r="X38" s="4">
        <v>39</v>
      </c>
    </row>
    <row r="39" spans="1:24" ht="43.5" customHeight="1">
      <c r="A39" s="4">
        <v>38</v>
      </c>
      <c r="B39" s="5" t="s">
        <v>241</v>
      </c>
      <c r="C39" s="5" t="s">
        <v>75</v>
      </c>
      <c r="D39" s="5" t="s">
        <v>23</v>
      </c>
      <c r="E39" s="5" t="s">
        <v>102</v>
      </c>
      <c r="F39" s="5" t="s">
        <v>482</v>
      </c>
      <c r="G39" s="7" t="str">
        <f t="shared" si="0"/>
        <v/>
      </c>
      <c r="H39" s="4" t="str">
        <f>IF(INDEX(比對結果!$G$2:$G$42,MATCH(X39,比對結果!$A$2:$A$42,0))="","",INDEX(比對結果!$G$2:$G$42,MATCH(X39,比對結果!$A$2:$A$42,0)))</f>
        <v/>
      </c>
      <c r="I39" s="7" t="s">
        <v>243</v>
      </c>
      <c r="J39" s="5" t="s">
        <v>483</v>
      </c>
      <c r="K39" s="8"/>
      <c r="L39" s="5" t="s">
        <v>474</v>
      </c>
      <c r="M39" s="5" t="s">
        <v>422</v>
      </c>
      <c r="N39" s="5" t="s">
        <v>484</v>
      </c>
      <c r="O39" s="9" t="s">
        <v>30</v>
      </c>
      <c r="P39" s="10">
        <v>46134</v>
      </c>
      <c r="Q39" s="5" t="s">
        <v>485</v>
      </c>
      <c r="R39" s="6"/>
      <c r="S39" s="4" t="str">
        <f>IF(ISNUMBER(P39),IF(P39&lt;統計!$B$2,"已截止","受理中"),R39)</f>
        <v>已截止</v>
      </c>
      <c r="T39" s="11">
        <f>IF(ISNUMBER(P39),P39-統計!$B$2,"")</f>
        <v>-181</v>
      </c>
      <c r="U39" s="23" t="s">
        <v>251</v>
      </c>
      <c r="V39" s="5" t="s">
        <v>486</v>
      </c>
      <c r="W39" s="13" t="s">
        <v>487</v>
      </c>
      <c r="X39" s="4">
        <v>40</v>
      </c>
    </row>
    <row r="40" spans="1:24" ht="43.5" customHeight="1">
      <c r="A40" s="4">
        <v>39</v>
      </c>
      <c r="B40" s="5" t="s">
        <v>241</v>
      </c>
      <c r="C40" s="5" t="s">
        <v>75</v>
      </c>
      <c r="D40" s="5" t="s">
        <v>23</v>
      </c>
      <c r="E40" s="5" t="s">
        <v>102</v>
      </c>
      <c r="F40" s="5" t="s">
        <v>488</v>
      </c>
      <c r="G40" s="7" t="str">
        <f t="shared" si="0"/>
        <v/>
      </c>
      <c r="H40" s="4" t="str">
        <f>IF(INDEX(比對結果!$G$2:$G$42,MATCH(X40,比對結果!$A$2:$A$42,0))="","",INDEX(比對結果!$G$2:$G$42,MATCH(X40,比對結果!$A$2:$A$42,0)))</f>
        <v/>
      </c>
      <c r="I40" s="7" t="s">
        <v>243</v>
      </c>
      <c r="J40" s="5" t="s">
        <v>489</v>
      </c>
      <c r="K40" s="8"/>
      <c r="L40" s="5" t="s">
        <v>490</v>
      </c>
      <c r="M40" s="5" t="s">
        <v>491</v>
      </c>
      <c r="N40" s="5" t="s">
        <v>492</v>
      </c>
      <c r="O40" s="9" t="s">
        <v>49</v>
      </c>
      <c r="P40" s="10"/>
      <c r="Q40" s="5" t="s">
        <v>493</v>
      </c>
      <c r="R40" s="5" t="s">
        <v>41</v>
      </c>
      <c r="S40" s="4" t="str">
        <f>IF(ISNUMBER(P40),IF(P40&lt;統計!$B$2,"已截止","受理中"),R40)</f>
        <v>未確認</v>
      </c>
      <c r="T40" s="11" t="str">
        <f>IF(ISNUMBER(P40),P40-統計!$B$2,"")</f>
        <v/>
      </c>
      <c r="U40" s="23" t="s">
        <v>251</v>
      </c>
      <c r="V40" s="5" t="s">
        <v>494</v>
      </c>
      <c r="W40" s="13" t="s">
        <v>495</v>
      </c>
      <c r="X40" s="4">
        <v>41</v>
      </c>
    </row>
    <row r="41" spans="1:24" ht="43.5" customHeight="1">
      <c r="A41" s="4">
        <v>40</v>
      </c>
      <c r="B41" s="5" t="s">
        <v>241</v>
      </c>
      <c r="C41" s="5" t="s">
        <v>268</v>
      </c>
      <c r="D41" s="5" t="s">
        <v>23</v>
      </c>
      <c r="E41" s="5" t="s">
        <v>102</v>
      </c>
      <c r="F41" s="5" t="s">
        <v>496</v>
      </c>
      <c r="G41" s="7" t="str">
        <f t="shared" si="0"/>
        <v/>
      </c>
      <c r="H41" s="4" t="str">
        <f>IF(INDEX(比對結果!$G$2:$G$42,MATCH(X41,比對結果!$A$2:$A$42,0))="","",INDEX(比對結果!$G$2:$G$42,MATCH(X41,比對結果!$A$2:$A$42,0)))</f>
        <v/>
      </c>
      <c r="I41" s="7" t="s">
        <v>243</v>
      </c>
      <c r="J41" s="5" t="s">
        <v>497</v>
      </c>
      <c r="K41" s="8"/>
      <c r="L41" s="5" t="s">
        <v>272</v>
      </c>
      <c r="M41" s="5" t="s">
        <v>273</v>
      </c>
      <c r="N41" s="5" t="s">
        <v>361</v>
      </c>
      <c r="O41" s="9" t="s">
        <v>180</v>
      </c>
      <c r="P41" s="10"/>
      <c r="Q41" s="5" t="s">
        <v>275</v>
      </c>
      <c r="R41" s="5" t="s">
        <v>276</v>
      </c>
      <c r="S41" s="4" t="str">
        <f>IF(ISNUMBER(P41),IF(P41&lt;統計!$B$2,"已截止","受理中"),R41)</f>
        <v>非申請制</v>
      </c>
      <c r="T41" s="11" t="str">
        <f>IF(ISNUMBER(P41),P41-統計!$B$2,"")</f>
        <v/>
      </c>
      <c r="U41" s="23" t="s">
        <v>251</v>
      </c>
      <c r="V41" s="5" t="s">
        <v>498</v>
      </c>
      <c r="W41" s="13" t="s">
        <v>481</v>
      </c>
      <c r="X41" s="4">
        <v>42</v>
      </c>
    </row>
    <row r="42" spans="1:24" ht="29.25" customHeight="1">
      <c r="A42" s="16">
        <v>41</v>
      </c>
      <c r="B42" s="17" t="s">
        <v>241</v>
      </c>
      <c r="C42" s="18"/>
      <c r="D42" s="17" t="s">
        <v>23</v>
      </c>
      <c r="E42" s="17" t="s">
        <v>102</v>
      </c>
      <c r="F42" s="17" t="s">
        <v>499</v>
      </c>
      <c r="G42" s="19" t="str">
        <f t="shared" si="0"/>
        <v>✓</v>
      </c>
      <c r="H42" s="16">
        <f>IF(INDEX(比對結果!$G$2:$G$42,MATCH(X42,比對結果!$A$2:$A$42,0))="","",INDEX(比對結果!$G$2:$G$42,MATCH(X42,比對結果!$A$2:$A$42,0)))</f>
        <v>13</v>
      </c>
      <c r="I42" s="19" t="s">
        <v>243</v>
      </c>
      <c r="J42" s="18"/>
      <c r="K42" s="20"/>
      <c r="L42" s="18"/>
      <c r="M42" s="18"/>
      <c r="N42" s="18"/>
      <c r="O42" s="16"/>
      <c r="P42" s="21"/>
      <c r="Q42" s="18"/>
      <c r="R42" s="18"/>
      <c r="S42" s="16"/>
      <c r="T42" s="22"/>
      <c r="U42" s="16"/>
      <c r="V42" s="17" t="s">
        <v>244</v>
      </c>
      <c r="W42" s="18"/>
      <c r="X42" s="16">
        <v>43</v>
      </c>
    </row>
  </sheetData>
  <autoFilter ref="A1:X42" xr:uid="{00000000-0009-0000-0000-000001000000}"/>
  <phoneticPr fontId="16" type="noConversion"/>
  <hyperlinks>
    <hyperlink ref="W3" r:id="rId1" xr:uid="{00000000-0004-0000-0100-000000000000}"/>
    <hyperlink ref="W4" r:id="rId2" xr:uid="{00000000-0004-0000-0100-000001000000}"/>
    <hyperlink ref="W5" r:id="rId3" xr:uid="{00000000-0004-0000-0100-000002000000}"/>
    <hyperlink ref="W6" r:id="rId4" xr:uid="{00000000-0004-0000-0100-000003000000}"/>
    <hyperlink ref="W7" r:id="rId5" xr:uid="{00000000-0004-0000-0100-000004000000}"/>
    <hyperlink ref="W8" r:id="rId6" xr:uid="{00000000-0004-0000-0100-000005000000}"/>
    <hyperlink ref="W10" r:id="rId7" xr:uid="{00000000-0004-0000-0100-000006000000}"/>
    <hyperlink ref="W11" r:id="rId8" xr:uid="{00000000-0004-0000-0100-000007000000}"/>
    <hyperlink ref="W12" r:id="rId9" xr:uid="{00000000-0004-0000-0100-000008000000}"/>
    <hyperlink ref="W13" r:id="rId10" xr:uid="{00000000-0004-0000-0100-000009000000}"/>
    <hyperlink ref="W14" r:id="rId11" xr:uid="{00000000-0004-0000-0100-00000A000000}"/>
    <hyperlink ref="W15" r:id="rId12" xr:uid="{00000000-0004-0000-0100-00000B000000}"/>
    <hyperlink ref="W16" r:id="rId13" xr:uid="{00000000-0004-0000-0100-00000C000000}"/>
    <hyperlink ref="W17" r:id="rId14" xr:uid="{00000000-0004-0000-0100-00000D000000}"/>
    <hyperlink ref="W18" r:id="rId15" xr:uid="{00000000-0004-0000-0100-00000E000000}"/>
    <hyperlink ref="W19" r:id="rId16" xr:uid="{00000000-0004-0000-0100-00000F000000}"/>
    <hyperlink ref="W20" r:id="rId17" xr:uid="{00000000-0004-0000-0100-000010000000}"/>
    <hyperlink ref="W21" r:id="rId18" xr:uid="{00000000-0004-0000-0100-000011000000}"/>
    <hyperlink ref="W23" r:id="rId19" xr:uid="{00000000-0004-0000-0100-000012000000}"/>
    <hyperlink ref="W25" r:id="rId20" xr:uid="{00000000-0004-0000-0100-000013000000}"/>
    <hyperlink ref="W26" r:id="rId21" xr:uid="{00000000-0004-0000-0100-000014000000}"/>
    <hyperlink ref="W27" r:id="rId22" xr:uid="{00000000-0004-0000-0100-000015000000}"/>
    <hyperlink ref="W28" r:id="rId23" xr:uid="{00000000-0004-0000-0100-000016000000}"/>
    <hyperlink ref="W29" r:id="rId24" xr:uid="{00000000-0004-0000-0100-000017000000}"/>
    <hyperlink ref="W30" r:id="rId25" xr:uid="{00000000-0004-0000-0100-000018000000}"/>
    <hyperlink ref="W31" r:id="rId26" xr:uid="{00000000-0004-0000-0100-000019000000}"/>
    <hyperlink ref="W33" r:id="rId27" xr:uid="{00000000-0004-0000-0100-00001A000000}"/>
    <hyperlink ref="W34" r:id="rId28" xr:uid="{00000000-0004-0000-0100-00001B000000}"/>
    <hyperlink ref="W35" r:id="rId29" xr:uid="{00000000-0004-0000-0100-00001C000000}"/>
    <hyperlink ref="W36" r:id="rId30" xr:uid="{00000000-0004-0000-0100-00001D000000}"/>
    <hyperlink ref="W37" r:id="rId31" xr:uid="{00000000-0004-0000-0100-00001E000000}"/>
    <hyperlink ref="W38" r:id="rId32" xr:uid="{00000000-0004-0000-0100-00001F000000}"/>
    <hyperlink ref="W39" r:id="rId33" xr:uid="{00000000-0004-0000-0100-000020000000}"/>
    <hyperlink ref="W40" r:id="rId34" xr:uid="{00000000-0004-0000-0100-000021000000}"/>
    <hyperlink ref="W41" r:id="rId35" xr:uid="{00000000-0004-0000-0100-000022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2"/>
  <sheetViews>
    <sheetView zoomScaleNormal="100" workbookViewId="0">
      <pane ySplit="1" topLeftCell="A2" activePane="bottomLeft" state="frozen"/>
      <selection pane="bottomLeft"/>
    </sheetView>
  </sheetViews>
  <sheetFormatPr defaultColWidth="8.7109375" defaultRowHeight="15"/>
  <cols>
    <col min="1" max="1" width="10" style="1" customWidth="1"/>
    <col min="2" max="2" width="16" style="1" customWidth="1"/>
    <col min="3" max="3" width="30" style="1" customWidth="1"/>
    <col min="4" max="4" width="46" style="1" customWidth="1"/>
    <col min="5" max="7" width="12" style="1" customWidth="1"/>
    <col min="8" max="8" width="36" style="1" customWidth="1"/>
    <col min="9" max="9" width="52" style="1" customWidth="1"/>
  </cols>
  <sheetData>
    <row r="1" spans="1:9" ht="48" customHeight="1">
      <c r="A1" s="2" t="s">
        <v>240</v>
      </c>
      <c r="B1" s="2" t="s">
        <v>500</v>
      </c>
      <c r="C1" s="2" t="s">
        <v>501</v>
      </c>
      <c r="D1" s="2" t="s">
        <v>502</v>
      </c>
      <c r="E1" s="2" t="s">
        <v>503</v>
      </c>
      <c r="F1" s="2" t="s">
        <v>504</v>
      </c>
      <c r="G1" s="2" t="s">
        <v>505</v>
      </c>
      <c r="H1" s="2" t="s">
        <v>506</v>
      </c>
      <c r="I1" s="2" t="s">
        <v>507</v>
      </c>
    </row>
    <row r="2" spans="1:9" ht="29.25" customHeight="1">
      <c r="A2" s="15">
        <v>2</v>
      </c>
      <c r="B2" s="17" t="s">
        <v>137</v>
      </c>
      <c r="C2" s="17" t="s">
        <v>508</v>
      </c>
      <c r="D2" s="18" t="s">
        <v>242</v>
      </c>
      <c r="E2" s="16" t="s">
        <v>509</v>
      </c>
      <c r="F2" s="15" t="s">
        <v>30</v>
      </c>
      <c r="G2" s="24">
        <v>14</v>
      </c>
      <c r="H2" s="18" t="str">
        <f>IFERROR(INDEX(計畫總表!$F$2:$F$27,MATCH(G2,計畫總表!$A$2:$A$27,0)),"")</f>
        <v>AI創新服務研發補助計畫(115年)</v>
      </c>
      <c r="I2" s="17" t="s">
        <v>510</v>
      </c>
    </row>
    <row r="3" spans="1:9" ht="27" customHeight="1">
      <c r="A3" s="4">
        <v>4</v>
      </c>
      <c r="B3" s="5" t="s">
        <v>24</v>
      </c>
      <c r="C3" s="5" t="s">
        <v>511</v>
      </c>
      <c r="D3" s="6" t="s">
        <v>245</v>
      </c>
      <c r="E3" s="4" t="s">
        <v>509</v>
      </c>
      <c r="F3" s="4"/>
      <c r="G3" s="25"/>
      <c r="H3" s="6" t="str">
        <f>IFERROR(INDEX(計畫總表!$F$2:$F$27,MATCH(G3,計畫總表!$A$2:$A$27,0)),"")</f>
        <v/>
      </c>
      <c r="I3" s="5" t="s">
        <v>512</v>
      </c>
    </row>
    <row r="4" spans="1:9" ht="15" customHeight="1">
      <c r="A4" s="4">
        <v>5</v>
      </c>
      <c r="B4" s="5" t="s">
        <v>24</v>
      </c>
      <c r="C4" s="5" t="s">
        <v>511</v>
      </c>
      <c r="D4" s="6" t="s">
        <v>254</v>
      </c>
      <c r="E4" s="4" t="s">
        <v>509</v>
      </c>
      <c r="F4" s="4"/>
      <c r="G4" s="25"/>
      <c r="H4" s="6" t="str">
        <f>IFERROR(INDEX(計畫總表!$F$2:$F$27,MATCH(G4,計畫總表!$A$2:$A$27,0)),"")</f>
        <v/>
      </c>
      <c r="I4" s="5" t="s">
        <v>512</v>
      </c>
    </row>
    <row r="5" spans="1:9" ht="29.25" customHeight="1">
      <c r="A5" s="4">
        <v>6</v>
      </c>
      <c r="B5" s="5" t="s">
        <v>24</v>
      </c>
      <c r="C5" s="5" t="s">
        <v>511</v>
      </c>
      <c r="D5" s="6" t="s">
        <v>262</v>
      </c>
      <c r="E5" s="4" t="s">
        <v>509</v>
      </c>
      <c r="F5" s="4"/>
      <c r="G5" s="25"/>
      <c r="H5" s="6" t="str">
        <f>IFERROR(INDEX(計畫總表!$F$2:$F$27,MATCH(G5,計畫總表!$A$2:$A$27,0)),"")</f>
        <v/>
      </c>
      <c r="I5" s="5" t="s">
        <v>512</v>
      </c>
    </row>
    <row r="6" spans="1:9" ht="29.25" customHeight="1">
      <c r="A6" s="4">
        <v>7</v>
      </c>
      <c r="B6" s="5" t="s">
        <v>269</v>
      </c>
      <c r="C6" s="5" t="s">
        <v>513</v>
      </c>
      <c r="D6" s="5" t="s">
        <v>514</v>
      </c>
      <c r="E6" s="4" t="s">
        <v>515</v>
      </c>
      <c r="F6" s="4"/>
      <c r="G6" s="25"/>
      <c r="H6" s="6" t="str">
        <f>IFERROR(INDEX(計畫總表!$F$2:$F$27,MATCH(G6,計畫總表!$A$2:$A$27,0)),"")</f>
        <v/>
      </c>
      <c r="I6" s="5" t="s">
        <v>512</v>
      </c>
    </row>
    <row r="7" spans="1:9" ht="29.25" customHeight="1">
      <c r="A7" s="4">
        <v>8</v>
      </c>
      <c r="B7" s="5" t="s">
        <v>269</v>
      </c>
      <c r="C7" s="5" t="s">
        <v>513</v>
      </c>
      <c r="D7" s="5" t="s">
        <v>279</v>
      </c>
      <c r="E7" s="4" t="s">
        <v>509</v>
      </c>
      <c r="F7" s="9" t="s">
        <v>30</v>
      </c>
      <c r="G7" s="25"/>
      <c r="H7" s="6" t="str">
        <f>IFERROR(INDEX(計畫總表!$F$2:$F$27,MATCH(G7,計畫總表!$A$2:$A$27,0)),"")</f>
        <v/>
      </c>
      <c r="I7" s="5" t="s">
        <v>512</v>
      </c>
    </row>
    <row r="8" spans="1:9" ht="15" customHeight="1">
      <c r="A8" s="4">
        <v>9</v>
      </c>
      <c r="B8" s="5" t="s">
        <v>120</v>
      </c>
      <c r="C8" s="5" t="s">
        <v>516</v>
      </c>
      <c r="D8" s="6" t="s">
        <v>288</v>
      </c>
      <c r="E8" s="4" t="s">
        <v>509</v>
      </c>
      <c r="F8" s="9" t="s">
        <v>30</v>
      </c>
      <c r="G8" s="25"/>
      <c r="H8" s="6" t="str">
        <f>IFERROR(INDEX(計畫總表!$F$2:$F$27,MATCH(G8,計畫總表!$A$2:$A$27,0)),"")</f>
        <v/>
      </c>
      <c r="I8" s="5" t="s">
        <v>512</v>
      </c>
    </row>
    <row r="9" spans="1:9" ht="15" customHeight="1">
      <c r="A9" s="4">
        <v>10</v>
      </c>
      <c r="B9" s="5" t="s">
        <v>120</v>
      </c>
      <c r="C9" s="5" t="s">
        <v>517</v>
      </c>
      <c r="D9" s="5" t="s">
        <v>296</v>
      </c>
      <c r="E9" s="4" t="s">
        <v>509</v>
      </c>
      <c r="F9" s="4"/>
      <c r="G9" s="25"/>
      <c r="H9" s="6" t="str">
        <f>IFERROR(INDEX(計畫總表!$F$2:$F$27,MATCH(G9,計畫總表!$A$2:$A$27,0)),"")</f>
        <v/>
      </c>
      <c r="I9" s="5" t="s">
        <v>512</v>
      </c>
    </row>
    <row r="10" spans="1:9" ht="15" customHeight="1">
      <c r="A10" s="4">
        <v>11</v>
      </c>
      <c r="B10" s="5" t="s">
        <v>120</v>
      </c>
      <c r="C10" s="5" t="s">
        <v>517</v>
      </c>
      <c r="D10" s="6" t="s">
        <v>302</v>
      </c>
      <c r="E10" s="4" t="s">
        <v>509</v>
      </c>
      <c r="F10" s="4"/>
      <c r="G10" s="25"/>
      <c r="H10" s="6" t="str">
        <f>IFERROR(INDEX(計畫總表!$F$2:$F$27,MATCH(G10,計畫總表!$A$2:$A$27,0)),"")</f>
        <v/>
      </c>
      <c r="I10" s="5" t="s">
        <v>512</v>
      </c>
    </row>
    <row r="11" spans="1:9" ht="29.25" customHeight="1">
      <c r="A11" s="4">
        <v>12</v>
      </c>
      <c r="B11" s="5" t="s">
        <v>120</v>
      </c>
      <c r="C11" s="5" t="s">
        <v>517</v>
      </c>
      <c r="D11" s="6" t="s">
        <v>310</v>
      </c>
      <c r="E11" s="4" t="s">
        <v>509</v>
      </c>
      <c r="F11" s="4"/>
      <c r="G11" s="25"/>
      <c r="H11" s="6" t="str">
        <f>IFERROR(INDEX(計畫總表!$F$2:$F$27,MATCH(G11,計畫總表!$A$2:$A$27,0)),"")</f>
        <v/>
      </c>
      <c r="I11" s="5" t="s">
        <v>512</v>
      </c>
    </row>
    <row r="12" spans="1:9" ht="29.25" customHeight="1">
      <c r="A12" s="4">
        <v>13</v>
      </c>
      <c r="B12" s="5" t="s">
        <v>120</v>
      </c>
      <c r="C12" s="5" t="s">
        <v>517</v>
      </c>
      <c r="D12" s="6" t="s">
        <v>317</v>
      </c>
      <c r="E12" s="4" t="s">
        <v>509</v>
      </c>
      <c r="F12" s="4"/>
      <c r="G12" s="25"/>
      <c r="H12" s="6" t="str">
        <f>IFERROR(INDEX(計畫總表!$F$2:$F$27,MATCH(G12,計畫總表!$A$2:$A$27,0)),"")</f>
        <v/>
      </c>
      <c r="I12" s="5" t="s">
        <v>512</v>
      </c>
    </row>
    <row r="13" spans="1:9" ht="29.25" customHeight="1">
      <c r="A13" s="4">
        <v>14</v>
      </c>
      <c r="B13" s="5" t="s">
        <v>120</v>
      </c>
      <c r="C13" s="5" t="s">
        <v>517</v>
      </c>
      <c r="D13" s="6" t="s">
        <v>321</v>
      </c>
      <c r="E13" s="4" t="s">
        <v>509</v>
      </c>
      <c r="F13" s="4"/>
      <c r="G13" s="25"/>
      <c r="H13" s="6" t="str">
        <f>IFERROR(INDEX(計畫總表!$F$2:$F$27,MATCH(G13,計畫總表!$A$2:$A$27,0)),"")</f>
        <v/>
      </c>
      <c r="I13" s="5" t="s">
        <v>512</v>
      </c>
    </row>
    <row r="14" spans="1:9" ht="29.25" customHeight="1">
      <c r="A14" s="4">
        <v>15</v>
      </c>
      <c r="B14" s="5" t="s">
        <v>120</v>
      </c>
      <c r="C14" s="5" t="s">
        <v>517</v>
      </c>
      <c r="D14" s="6" t="s">
        <v>326</v>
      </c>
      <c r="E14" s="4" t="s">
        <v>509</v>
      </c>
      <c r="F14" s="4"/>
      <c r="G14" s="25"/>
      <c r="H14" s="6" t="str">
        <f>IFERROR(INDEX(計畫總表!$F$2:$F$27,MATCH(G14,計畫總表!$A$2:$A$27,0)),"")</f>
        <v/>
      </c>
      <c r="I14" s="5" t="s">
        <v>512</v>
      </c>
    </row>
    <row r="15" spans="1:9" ht="15" customHeight="1">
      <c r="A15" s="4">
        <v>16</v>
      </c>
      <c r="B15" s="5" t="s">
        <v>120</v>
      </c>
      <c r="C15" s="5" t="s">
        <v>517</v>
      </c>
      <c r="D15" s="6" t="s">
        <v>518</v>
      </c>
      <c r="E15" s="4" t="s">
        <v>509</v>
      </c>
      <c r="F15" s="4"/>
      <c r="G15" s="25"/>
      <c r="H15" s="6" t="str">
        <f>IFERROR(INDEX(計畫總表!$F$2:$F$27,MATCH(G15,計畫總表!$A$2:$A$27,0)),"")</f>
        <v/>
      </c>
      <c r="I15" s="5" t="s">
        <v>512</v>
      </c>
    </row>
    <row r="16" spans="1:9" ht="15" customHeight="1">
      <c r="A16" s="4">
        <v>17</v>
      </c>
      <c r="B16" s="5" t="s">
        <v>120</v>
      </c>
      <c r="C16" s="5" t="s">
        <v>517</v>
      </c>
      <c r="D16" s="6" t="s">
        <v>518</v>
      </c>
      <c r="E16" s="4" t="s">
        <v>509</v>
      </c>
      <c r="F16" s="4"/>
      <c r="G16" s="25"/>
      <c r="H16" s="6" t="str">
        <f>IFERROR(INDEX(計畫總表!$F$2:$F$27,MATCH(G16,計畫總表!$A$2:$A$27,0)),"")</f>
        <v/>
      </c>
      <c r="I16" s="5" t="s">
        <v>512</v>
      </c>
    </row>
    <row r="17" spans="1:9" ht="15" customHeight="1">
      <c r="A17" s="4">
        <v>18</v>
      </c>
      <c r="B17" s="5" t="s">
        <v>120</v>
      </c>
      <c r="C17" s="5" t="s">
        <v>517</v>
      </c>
      <c r="D17" s="6" t="s">
        <v>344</v>
      </c>
      <c r="E17" s="4" t="s">
        <v>509</v>
      </c>
      <c r="F17" s="4"/>
      <c r="G17" s="25"/>
      <c r="H17" s="6" t="str">
        <f>IFERROR(INDEX(計畫總表!$F$2:$F$27,MATCH(G17,計畫總表!$A$2:$A$27,0)),"")</f>
        <v/>
      </c>
      <c r="I17" s="5" t="s">
        <v>512</v>
      </c>
    </row>
    <row r="18" spans="1:9" ht="15" customHeight="1">
      <c r="A18" s="4">
        <v>19</v>
      </c>
      <c r="B18" s="5" t="s">
        <v>120</v>
      </c>
      <c r="C18" s="5" t="s">
        <v>517</v>
      </c>
      <c r="D18" s="6" t="s">
        <v>351</v>
      </c>
      <c r="E18" s="4" t="s">
        <v>509</v>
      </c>
      <c r="F18" s="4"/>
      <c r="G18" s="25"/>
      <c r="H18" s="6" t="str">
        <f>IFERROR(INDEX(計畫總表!$F$2:$F$27,MATCH(G18,計畫總表!$A$2:$A$27,0)),"")</f>
        <v/>
      </c>
      <c r="I18" s="5" t="s">
        <v>512</v>
      </c>
    </row>
    <row r="19" spans="1:9" ht="15" customHeight="1">
      <c r="A19" s="4">
        <v>20</v>
      </c>
      <c r="B19" s="5" t="s">
        <v>120</v>
      </c>
      <c r="C19" s="5" t="s">
        <v>517</v>
      </c>
      <c r="D19" s="5" t="s">
        <v>519</v>
      </c>
      <c r="E19" s="4" t="s">
        <v>515</v>
      </c>
      <c r="F19" s="4"/>
      <c r="G19" s="25"/>
      <c r="H19" s="6" t="str">
        <f>IFERROR(INDEX(計畫總表!$F$2:$F$27,MATCH(G19,計畫總表!$A$2:$A$27,0)),"")</f>
        <v/>
      </c>
      <c r="I19" s="5" t="s">
        <v>512</v>
      </c>
    </row>
    <row r="20" spans="1:9" ht="15" customHeight="1">
      <c r="A20" s="4">
        <v>21</v>
      </c>
      <c r="B20" s="5" t="s">
        <v>120</v>
      </c>
      <c r="C20" s="5" t="s">
        <v>517</v>
      </c>
      <c r="D20" s="6" t="s">
        <v>364</v>
      </c>
      <c r="E20" s="4" t="s">
        <v>509</v>
      </c>
      <c r="F20" s="4"/>
      <c r="G20" s="25"/>
      <c r="H20" s="6" t="str">
        <f>IFERROR(INDEX(計畫總表!$F$2:$F$27,MATCH(G20,計畫總表!$A$2:$A$27,0)),"")</f>
        <v/>
      </c>
      <c r="I20" s="5" t="s">
        <v>512</v>
      </c>
    </row>
    <row r="21" spans="1:9" ht="15" customHeight="1">
      <c r="A21" s="4">
        <v>22</v>
      </c>
      <c r="B21" s="5" t="s">
        <v>120</v>
      </c>
      <c r="C21" s="5" t="s">
        <v>517</v>
      </c>
      <c r="D21" s="6" t="s">
        <v>371</v>
      </c>
      <c r="E21" s="4" t="s">
        <v>509</v>
      </c>
      <c r="F21" s="4"/>
      <c r="G21" s="25"/>
      <c r="H21" s="6" t="str">
        <f>IFERROR(INDEX(計畫總表!$F$2:$F$27,MATCH(G21,計畫總表!$A$2:$A$27,0)),"")</f>
        <v/>
      </c>
      <c r="I21" s="5" t="s">
        <v>512</v>
      </c>
    </row>
    <row r="22" spans="1:9" ht="15" customHeight="1">
      <c r="A22" s="4">
        <v>23</v>
      </c>
      <c r="B22" s="5" t="s">
        <v>120</v>
      </c>
      <c r="C22" s="5" t="s">
        <v>517</v>
      </c>
      <c r="D22" s="6" t="s">
        <v>379</v>
      </c>
      <c r="E22" s="4" t="s">
        <v>509</v>
      </c>
      <c r="F22" s="9" t="s">
        <v>30</v>
      </c>
      <c r="G22" s="25"/>
      <c r="H22" s="6" t="str">
        <f>IFERROR(INDEX(計畫總表!$F$2:$F$27,MATCH(G22,計畫總表!$A$2:$A$27,0)),"")</f>
        <v/>
      </c>
      <c r="I22" s="5" t="s">
        <v>512</v>
      </c>
    </row>
    <row r="23" spans="1:9" ht="15" customHeight="1">
      <c r="A23" s="4">
        <v>24</v>
      </c>
      <c r="B23" s="5" t="s">
        <v>59</v>
      </c>
      <c r="C23" s="5" t="s">
        <v>520</v>
      </c>
      <c r="D23" s="5" t="s">
        <v>385</v>
      </c>
      <c r="E23" s="4" t="s">
        <v>509</v>
      </c>
      <c r="F23" s="4"/>
      <c r="G23" s="25"/>
      <c r="H23" s="6" t="str">
        <f>IFERROR(INDEX(計畫總表!$F$2:$F$27,MATCH(G23,計畫總表!$A$2:$A$27,0)),"")</f>
        <v/>
      </c>
      <c r="I23" s="5" t="s">
        <v>512</v>
      </c>
    </row>
    <row r="24" spans="1:9" ht="43.5" customHeight="1">
      <c r="A24" s="16">
        <v>25</v>
      </c>
      <c r="B24" s="17" t="s">
        <v>59</v>
      </c>
      <c r="C24" s="17" t="s">
        <v>520</v>
      </c>
      <c r="D24" s="17" t="s">
        <v>393</v>
      </c>
      <c r="E24" s="16" t="s">
        <v>509</v>
      </c>
      <c r="F24" s="15" t="s">
        <v>30</v>
      </c>
      <c r="G24" s="24">
        <v>6</v>
      </c>
      <c r="H24" s="18" t="str">
        <f>IFERROR(INDEX(計畫總表!$F$2:$F$27,MATCH(G24,計畫總表!$A$2:$A$27,0)),"")</f>
        <v>智慧機械-產業聚落供應鏈數位串流暨AI應用</v>
      </c>
      <c r="I24" s="17" t="s">
        <v>521</v>
      </c>
    </row>
    <row r="25" spans="1:9" ht="15" customHeight="1">
      <c r="A25" s="4">
        <v>26</v>
      </c>
      <c r="B25" s="5" t="s">
        <v>59</v>
      </c>
      <c r="C25" s="5" t="s">
        <v>520</v>
      </c>
      <c r="D25" s="5" t="s">
        <v>394</v>
      </c>
      <c r="E25" s="4" t="s">
        <v>509</v>
      </c>
      <c r="F25" s="4"/>
      <c r="G25" s="25"/>
      <c r="H25" s="6" t="str">
        <f>IFERROR(INDEX(計畫總表!$F$2:$F$27,MATCH(G25,計畫總表!$A$2:$A$27,0)),"")</f>
        <v/>
      </c>
      <c r="I25" s="5" t="s">
        <v>512</v>
      </c>
    </row>
    <row r="26" spans="1:9" ht="15" customHeight="1">
      <c r="A26" s="4">
        <v>27</v>
      </c>
      <c r="B26" s="5" t="s">
        <v>59</v>
      </c>
      <c r="C26" s="5" t="s">
        <v>520</v>
      </c>
      <c r="D26" s="5" t="s">
        <v>401</v>
      </c>
      <c r="E26" s="4" t="s">
        <v>509</v>
      </c>
      <c r="F26" s="4"/>
      <c r="G26" s="25"/>
      <c r="H26" s="6" t="str">
        <f>IFERROR(INDEX(計畫總表!$F$2:$F$27,MATCH(G26,計畫總表!$A$2:$A$27,0)),"")</f>
        <v/>
      </c>
      <c r="I26" s="5" t="s">
        <v>512</v>
      </c>
    </row>
    <row r="27" spans="1:9" ht="15" customHeight="1">
      <c r="A27" s="4">
        <v>28</v>
      </c>
      <c r="B27" s="5" t="s">
        <v>59</v>
      </c>
      <c r="C27" s="5" t="s">
        <v>520</v>
      </c>
      <c r="D27" s="5" t="s">
        <v>405</v>
      </c>
      <c r="E27" s="4" t="s">
        <v>509</v>
      </c>
      <c r="F27" s="4"/>
      <c r="G27" s="25"/>
      <c r="H27" s="6" t="str">
        <f>IFERROR(INDEX(計畫總表!$F$2:$F$27,MATCH(G27,計畫總表!$A$2:$A$27,0)),"")</f>
        <v/>
      </c>
      <c r="I27" s="5" t="s">
        <v>512</v>
      </c>
    </row>
    <row r="28" spans="1:9" ht="15" customHeight="1">
      <c r="A28" s="4">
        <v>29</v>
      </c>
      <c r="B28" s="5" t="s">
        <v>59</v>
      </c>
      <c r="C28" s="5" t="s">
        <v>522</v>
      </c>
      <c r="D28" s="5" t="s">
        <v>412</v>
      </c>
      <c r="E28" s="4" t="s">
        <v>509</v>
      </c>
      <c r="F28" s="9" t="s">
        <v>30</v>
      </c>
      <c r="G28" s="25"/>
      <c r="H28" s="6" t="str">
        <f>IFERROR(INDEX(計畫總表!$F$2:$F$27,MATCH(G28,計畫總表!$A$2:$A$27,0)),"")</f>
        <v/>
      </c>
      <c r="I28" s="5" t="s">
        <v>512</v>
      </c>
    </row>
    <row r="29" spans="1:9" ht="15" customHeight="1">
      <c r="A29" s="4">
        <v>30</v>
      </c>
      <c r="B29" s="5" t="s">
        <v>59</v>
      </c>
      <c r="C29" s="5" t="s">
        <v>522</v>
      </c>
      <c r="D29" s="5" t="s">
        <v>419</v>
      </c>
      <c r="E29" s="4" t="s">
        <v>509</v>
      </c>
      <c r="F29" s="4"/>
      <c r="G29" s="25"/>
      <c r="H29" s="6" t="str">
        <f>IFERROR(INDEX(計畫總表!$F$2:$F$27,MATCH(G29,計畫總表!$A$2:$A$27,0)),"")</f>
        <v/>
      </c>
      <c r="I29" s="5" t="s">
        <v>512</v>
      </c>
    </row>
    <row r="30" spans="1:9" ht="15" customHeight="1">
      <c r="A30" s="4">
        <v>31</v>
      </c>
      <c r="B30" s="5" t="s">
        <v>59</v>
      </c>
      <c r="C30" s="5" t="s">
        <v>522</v>
      </c>
      <c r="D30" s="5" t="s">
        <v>426</v>
      </c>
      <c r="E30" s="4" t="s">
        <v>509</v>
      </c>
      <c r="F30" s="4"/>
      <c r="G30" s="25"/>
      <c r="H30" s="6" t="str">
        <f>IFERROR(INDEX(計畫總表!$F$2:$F$27,MATCH(G30,計畫總表!$A$2:$A$27,0)),"")</f>
        <v/>
      </c>
      <c r="I30" s="5" t="s">
        <v>512</v>
      </c>
    </row>
    <row r="31" spans="1:9" ht="15" customHeight="1">
      <c r="A31" s="4">
        <v>32</v>
      </c>
      <c r="B31" s="5" t="s">
        <v>59</v>
      </c>
      <c r="C31" s="5" t="s">
        <v>522</v>
      </c>
      <c r="D31" s="5" t="s">
        <v>432</v>
      </c>
      <c r="E31" s="4" t="s">
        <v>509</v>
      </c>
      <c r="F31" s="4"/>
      <c r="G31" s="25"/>
      <c r="H31" s="6" t="str">
        <f>IFERROR(INDEX(計畫總表!$F$2:$F$27,MATCH(G31,計畫總表!$A$2:$A$27,0)),"")</f>
        <v/>
      </c>
      <c r="I31" s="5" t="s">
        <v>512</v>
      </c>
    </row>
    <row r="32" spans="1:9" ht="15" customHeight="1">
      <c r="A32" s="4">
        <v>33</v>
      </c>
      <c r="B32" s="5" t="s">
        <v>59</v>
      </c>
      <c r="C32" s="5" t="s">
        <v>522</v>
      </c>
      <c r="D32" s="5" t="s">
        <v>438</v>
      </c>
      <c r="E32" s="4" t="s">
        <v>509</v>
      </c>
      <c r="F32" s="4"/>
      <c r="G32" s="25"/>
      <c r="H32" s="6" t="str">
        <f>IFERROR(INDEX(計畫總表!$F$2:$F$27,MATCH(G32,計畫總表!$A$2:$A$27,0)),"")</f>
        <v/>
      </c>
      <c r="I32" s="5" t="s">
        <v>512</v>
      </c>
    </row>
    <row r="33" spans="1:9" ht="15" customHeight="1">
      <c r="A33" s="4">
        <v>34</v>
      </c>
      <c r="B33" s="5" t="s">
        <v>59</v>
      </c>
      <c r="C33" s="5" t="s">
        <v>522</v>
      </c>
      <c r="D33" s="5" t="s">
        <v>444</v>
      </c>
      <c r="E33" s="4" t="s">
        <v>509</v>
      </c>
      <c r="F33" s="9" t="s">
        <v>30</v>
      </c>
      <c r="G33" s="25"/>
      <c r="H33" s="6" t="str">
        <f>IFERROR(INDEX(計畫總表!$F$2:$F$27,MATCH(G33,計畫總表!$A$2:$A$27,0)),"")</f>
        <v/>
      </c>
      <c r="I33" s="5" t="s">
        <v>512</v>
      </c>
    </row>
    <row r="34" spans="1:9" ht="15" customHeight="1">
      <c r="A34" s="4">
        <v>35</v>
      </c>
      <c r="B34" s="5" t="s">
        <v>59</v>
      </c>
      <c r="C34" s="5" t="s">
        <v>522</v>
      </c>
      <c r="D34" s="5" t="s">
        <v>451</v>
      </c>
      <c r="E34" s="4" t="s">
        <v>509</v>
      </c>
      <c r="F34" s="4"/>
      <c r="G34" s="25"/>
      <c r="H34" s="6" t="str">
        <f>IFERROR(INDEX(計畫總表!$F$2:$F$27,MATCH(G34,計畫總表!$A$2:$A$27,0)),"")</f>
        <v/>
      </c>
      <c r="I34" s="5" t="s">
        <v>512</v>
      </c>
    </row>
    <row r="35" spans="1:9" ht="29.25" customHeight="1">
      <c r="A35" s="4">
        <v>36</v>
      </c>
      <c r="B35" s="5" t="s">
        <v>102</v>
      </c>
      <c r="C35" s="5" t="s">
        <v>523</v>
      </c>
      <c r="D35" s="5" t="s">
        <v>458</v>
      </c>
      <c r="E35" s="4" t="s">
        <v>509</v>
      </c>
      <c r="F35" s="4"/>
      <c r="G35" s="25"/>
      <c r="H35" s="6" t="str">
        <f>IFERROR(INDEX(計畫總表!$F$2:$F$27,MATCH(G35,計畫總表!$A$2:$A$27,0)),"")</f>
        <v/>
      </c>
      <c r="I35" s="5" t="s">
        <v>512</v>
      </c>
    </row>
    <row r="36" spans="1:9" ht="29.25" customHeight="1">
      <c r="A36" s="4">
        <v>37</v>
      </c>
      <c r="B36" s="5" t="s">
        <v>102</v>
      </c>
      <c r="C36" s="5" t="s">
        <v>523</v>
      </c>
      <c r="D36" s="5" t="s">
        <v>465</v>
      </c>
      <c r="E36" s="4" t="s">
        <v>509</v>
      </c>
      <c r="F36" s="9" t="s">
        <v>30</v>
      </c>
      <c r="G36" s="25"/>
      <c r="H36" s="6" t="str">
        <f>IFERROR(INDEX(計畫總表!$F$2:$F$27,MATCH(G36,計畫總表!$A$2:$A$27,0)),"")</f>
        <v/>
      </c>
      <c r="I36" s="5" t="s">
        <v>512</v>
      </c>
    </row>
    <row r="37" spans="1:9" ht="29.25" customHeight="1">
      <c r="A37" s="4">
        <v>38</v>
      </c>
      <c r="B37" s="5" t="s">
        <v>102</v>
      </c>
      <c r="C37" s="5" t="s">
        <v>523</v>
      </c>
      <c r="D37" s="6" t="s">
        <v>472</v>
      </c>
      <c r="E37" s="4" t="s">
        <v>509</v>
      </c>
      <c r="F37" s="4"/>
      <c r="G37" s="25"/>
      <c r="H37" s="6" t="str">
        <f>IFERROR(INDEX(計畫總表!$F$2:$F$27,MATCH(G37,計畫總表!$A$2:$A$27,0)),"")</f>
        <v/>
      </c>
      <c r="I37" s="5" t="s">
        <v>512</v>
      </c>
    </row>
    <row r="38" spans="1:9" ht="29.25" customHeight="1">
      <c r="A38" s="4">
        <v>39</v>
      </c>
      <c r="B38" s="5" t="s">
        <v>102</v>
      </c>
      <c r="C38" s="5" t="s">
        <v>524</v>
      </c>
      <c r="D38" s="5" t="s">
        <v>519</v>
      </c>
      <c r="E38" s="4" t="s">
        <v>515</v>
      </c>
      <c r="F38" s="4"/>
      <c r="G38" s="25"/>
      <c r="H38" s="6" t="str">
        <f>IFERROR(INDEX(計畫總表!$F$2:$F$27,MATCH(G38,計畫總表!$A$2:$A$27,0)),"")</f>
        <v/>
      </c>
      <c r="I38" s="5" t="s">
        <v>512</v>
      </c>
    </row>
    <row r="39" spans="1:9" ht="29.25" customHeight="1">
      <c r="A39" s="4">
        <v>40</v>
      </c>
      <c r="B39" s="5" t="s">
        <v>102</v>
      </c>
      <c r="C39" s="5" t="s">
        <v>524</v>
      </c>
      <c r="D39" s="5" t="s">
        <v>482</v>
      </c>
      <c r="E39" s="4" t="s">
        <v>509</v>
      </c>
      <c r="F39" s="4"/>
      <c r="G39" s="25"/>
      <c r="H39" s="6" t="str">
        <f>IFERROR(INDEX(計畫總表!$F$2:$F$27,MATCH(G39,計畫總表!$A$2:$A$27,0)),"")</f>
        <v/>
      </c>
      <c r="I39" s="5" t="s">
        <v>512</v>
      </c>
    </row>
    <row r="40" spans="1:9" ht="29.25" customHeight="1">
      <c r="A40" s="4">
        <v>41</v>
      </c>
      <c r="B40" s="5" t="s">
        <v>102</v>
      </c>
      <c r="C40" s="5" t="s">
        <v>524</v>
      </c>
      <c r="D40" s="5" t="s">
        <v>488</v>
      </c>
      <c r="E40" s="4" t="s">
        <v>509</v>
      </c>
      <c r="F40" s="4"/>
      <c r="G40" s="25"/>
      <c r="H40" s="6" t="str">
        <f>IFERROR(INDEX(計畫總表!$F$2:$F$27,MATCH(G40,計畫總表!$A$2:$A$27,0)),"")</f>
        <v/>
      </c>
      <c r="I40" s="5" t="s">
        <v>512</v>
      </c>
    </row>
    <row r="41" spans="1:9" ht="29.25" customHeight="1">
      <c r="A41" s="4">
        <v>42</v>
      </c>
      <c r="B41" s="5" t="s">
        <v>102</v>
      </c>
      <c r="C41" s="5" t="s">
        <v>524</v>
      </c>
      <c r="D41" s="5" t="s">
        <v>496</v>
      </c>
      <c r="E41" s="4" t="s">
        <v>515</v>
      </c>
      <c r="F41" s="4"/>
      <c r="G41" s="25"/>
      <c r="H41" s="6" t="str">
        <f>IFERROR(INDEX(計畫總表!$F$2:$F$27,MATCH(G41,計畫總表!$A$2:$A$27,0)),"")</f>
        <v/>
      </c>
      <c r="I41" s="5" t="s">
        <v>512</v>
      </c>
    </row>
    <row r="42" spans="1:9" ht="29.25" customHeight="1">
      <c r="A42" s="16">
        <v>43</v>
      </c>
      <c r="B42" s="17" t="s">
        <v>102</v>
      </c>
      <c r="C42" s="17" t="s">
        <v>524</v>
      </c>
      <c r="D42" s="17" t="s">
        <v>499</v>
      </c>
      <c r="E42" s="16" t="s">
        <v>515</v>
      </c>
      <c r="F42" s="15" t="s">
        <v>30</v>
      </c>
      <c r="G42" s="24">
        <v>13</v>
      </c>
      <c r="H42" s="18" t="str">
        <f>IFERROR(INDEX(計畫總表!$F$2:$F$27,MATCH(G42,計畫總表!$A$2:$A$27,0)),"")</f>
        <v>SME AI平台與中小企業網路大學校</v>
      </c>
      <c r="I42" s="17" t="s">
        <v>525</v>
      </c>
    </row>
  </sheetData>
  <autoFilter ref="A1:I42" xr:uid="{00000000-0009-0000-0000-000002000000}"/>
  <phoneticPr fontId="16"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4"/>
  <sheetViews>
    <sheetView zoomScaleNormal="100" workbookViewId="0"/>
  </sheetViews>
  <sheetFormatPr defaultColWidth="8.7109375" defaultRowHeight="15"/>
  <cols>
    <col min="1" max="1" width="38" style="1" customWidth="1"/>
    <col min="2" max="2" width="14" style="1" customWidth="1"/>
    <col min="3" max="3" width="24" style="1" customWidth="1"/>
  </cols>
  <sheetData>
    <row r="1" spans="1:3" ht="19.5" customHeight="1">
      <c r="A1" s="26" t="s">
        <v>526</v>
      </c>
    </row>
    <row r="2" spans="1:3" ht="15" customHeight="1">
      <c r="A2" s="27" t="s">
        <v>527</v>
      </c>
      <c r="B2" s="28">
        <v>46315</v>
      </c>
      <c r="C2" s="29" t="s">
        <v>528</v>
      </c>
    </row>
    <row r="4" spans="1:3" ht="15" customHeight="1">
      <c r="A4" s="30" t="s">
        <v>2</v>
      </c>
      <c r="B4" s="30" t="s">
        <v>529</v>
      </c>
    </row>
    <row r="5" spans="1:3" ht="15" customHeight="1">
      <c r="A5" s="31" t="s">
        <v>22</v>
      </c>
      <c r="B5" s="31">
        <f>COUNTIF(計畫總表!$C$2:$C$27,A5)</f>
        <v>12</v>
      </c>
    </row>
    <row r="6" spans="1:3" ht="15" customHeight="1">
      <c r="A6" s="31" t="s">
        <v>75</v>
      </c>
      <c r="B6" s="31">
        <f>COUNTIF(計畫總表!$C$2:$C$27,A6)</f>
        <v>5</v>
      </c>
    </row>
    <row r="7" spans="1:3" ht="15" customHeight="1">
      <c r="A7" s="31" t="s">
        <v>85</v>
      </c>
      <c r="B7" s="31">
        <f>COUNTIF(計畫總表!$C$2:$C$27,A7)</f>
        <v>7</v>
      </c>
    </row>
    <row r="8" spans="1:3" ht="15" customHeight="1">
      <c r="A8" s="32" t="s">
        <v>222</v>
      </c>
      <c r="B8" s="32">
        <f>COUNTIF(計畫總表!$C$2:$C$27,A8)</f>
        <v>2</v>
      </c>
    </row>
    <row r="9" spans="1:3" ht="15" customHeight="1">
      <c r="A9" s="33" t="s">
        <v>530</v>
      </c>
      <c r="B9" s="33">
        <f>SUM(B5:B8)</f>
        <v>26</v>
      </c>
    </row>
    <row r="11" spans="1:3" ht="16.5" customHeight="1">
      <c r="A11" s="30" t="s">
        <v>3</v>
      </c>
      <c r="B11" s="30" t="s">
        <v>529</v>
      </c>
      <c r="C11" s="30" t="s">
        <v>531</v>
      </c>
    </row>
    <row r="12" spans="1:3" ht="15" customHeight="1">
      <c r="A12" s="31" t="s">
        <v>23</v>
      </c>
      <c r="B12" s="32">
        <f>COUNTIF(計畫總表!$D$2:$D$27,A12)</f>
        <v>13</v>
      </c>
      <c r="C12" s="34">
        <f>SUMPRODUCT(MAX((計畫總表!$D$2:$D$27=A12)*計畫總表!$I$2:$I$27))</f>
        <v>3000</v>
      </c>
    </row>
    <row r="13" spans="1:3" ht="15" customHeight="1">
      <c r="A13" s="31" t="s">
        <v>136</v>
      </c>
      <c r="B13" s="32">
        <f>COUNTIF(計畫總表!$D$2:$D$27,A13)</f>
        <v>7</v>
      </c>
      <c r="C13" s="34">
        <f>SUMPRODUCT(MAX((計畫總表!$D$2:$D$27=A13)*計畫總表!$I$2:$I$27))</f>
        <v>2000</v>
      </c>
    </row>
    <row r="14" spans="1:3" ht="15" customHeight="1">
      <c r="A14" s="31" t="s">
        <v>165</v>
      </c>
      <c r="B14" s="32">
        <f>COUNTIF(計畫總表!$D$2:$D$27,A14)</f>
        <v>2</v>
      </c>
      <c r="C14" s="34">
        <f>SUMPRODUCT(MAX((計畫總表!$D$2:$D$27=A14)*計畫總表!$I$2:$I$27))</f>
        <v>3000</v>
      </c>
    </row>
    <row r="15" spans="1:3" ht="15" customHeight="1">
      <c r="A15" s="31" t="s">
        <v>174</v>
      </c>
      <c r="B15" s="32">
        <f>COUNTIF(計畫總表!$D$2:$D$27,A15)</f>
        <v>1</v>
      </c>
      <c r="C15" s="34">
        <f>SUMPRODUCT(MAX((計畫總表!$D$2:$D$27=A15)*計畫總表!$I$2:$I$27))</f>
        <v>0</v>
      </c>
    </row>
    <row r="16" spans="1:3" ht="15" customHeight="1">
      <c r="A16" s="31" t="s">
        <v>184</v>
      </c>
      <c r="B16" s="32">
        <f>COUNTIF(計畫總表!$D$2:$D$27,A16)</f>
        <v>1</v>
      </c>
      <c r="C16" s="34">
        <f>SUMPRODUCT(MAX((計畫總表!$D$2:$D$27=A16)*計畫總表!$I$2:$I$27))</f>
        <v>750</v>
      </c>
    </row>
    <row r="17" spans="1:3" ht="15" customHeight="1">
      <c r="A17" s="31" t="s">
        <v>223</v>
      </c>
      <c r="B17" s="32">
        <f>COUNTIF(計畫總表!$D$2:$D$27,A17)</f>
        <v>2</v>
      </c>
      <c r="C17" s="34">
        <f>SUMPRODUCT(MAX((計畫總表!$D$2:$D$27=A17)*計畫總表!$I$2:$I$27))</f>
        <v>10</v>
      </c>
    </row>
    <row r="18" spans="1:3" ht="15" customHeight="1">
      <c r="A18" s="33" t="s">
        <v>530</v>
      </c>
      <c r="B18" s="33">
        <f>SUM(B12:B17)</f>
        <v>26</v>
      </c>
    </row>
    <row r="20" spans="1:3" ht="16.5" customHeight="1">
      <c r="A20" s="30" t="s">
        <v>532</v>
      </c>
      <c r="B20" s="30" t="s">
        <v>529</v>
      </c>
    </row>
    <row r="21" spans="1:3" ht="15" customHeight="1">
      <c r="A21" s="31" t="s">
        <v>533</v>
      </c>
      <c r="B21" s="32">
        <f>COUNTIF(計畫總表!$Q$2:$Q$27,A21)</f>
        <v>3</v>
      </c>
    </row>
    <row r="22" spans="1:3" ht="15" customHeight="1">
      <c r="A22" s="31" t="s">
        <v>534</v>
      </c>
      <c r="B22" s="32">
        <f>COUNTIF(計畫總表!$Q$2:$Q$27,A22)</f>
        <v>8</v>
      </c>
    </row>
    <row r="23" spans="1:3" ht="15" customHeight="1">
      <c r="A23" s="31" t="s">
        <v>82</v>
      </c>
      <c r="B23" s="32">
        <f>COUNTIF(計畫總表!$Q$2:$Q$27,A23)</f>
        <v>2</v>
      </c>
    </row>
    <row r="24" spans="1:3" ht="15" customHeight="1">
      <c r="A24" s="31" t="s">
        <v>41</v>
      </c>
      <c r="B24" s="32">
        <f>COUNTIF(計畫總表!$Q$2:$Q$27,A24)</f>
        <v>10</v>
      </c>
    </row>
    <row r="25" spans="1:3" ht="15" customHeight="1">
      <c r="A25" s="31" t="s">
        <v>99</v>
      </c>
      <c r="B25" s="32">
        <f>COUNTIF(計畫總表!$Q$2:$Q$27,A25)</f>
        <v>1</v>
      </c>
    </row>
    <row r="26" spans="1:3" ht="15" customHeight="1">
      <c r="A26" s="31" t="s">
        <v>212</v>
      </c>
      <c r="B26" s="32">
        <f>COUNTIF(計畫總表!$Q$2:$Q$27,A26)</f>
        <v>1</v>
      </c>
    </row>
    <row r="27" spans="1:3" ht="15" customHeight="1">
      <c r="A27" s="31" t="s">
        <v>149</v>
      </c>
      <c r="B27" s="32">
        <f>COUNTIF(計畫總表!$Q$2:$Q$27,A27)</f>
        <v>1</v>
      </c>
    </row>
    <row r="28" spans="1:3" ht="15" customHeight="1">
      <c r="A28" s="33" t="s">
        <v>530</v>
      </c>
      <c r="B28" s="33">
        <f>SUM(B21:B27)</f>
        <v>26</v>
      </c>
    </row>
    <row r="30" spans="1:3" ht="15" customHeight="1">
      <c r="A30" s="30" t="s">
        <v>18</v>
      </c>
      <c r="B30" s="30" t="s">
        <v>529</v>
      </c>
    </row>
    <row r="31" spans="1:3" ht="15" customHeight="1">
      <c r="A31" s="31" t="s">
        <v>72</v>
      </c>
      <c r="B31" s="32">
        <f>COUNTIF(計畫總表!$S$2:$S$27,A31)</f>
        <v>4</v>
      </c>
    </row>
    <row r="32" spans="1:3" ht="15" customHeight="1">
      <c r="A32" s="31" t="s">
        <v>32</v>
      </c>
      <c r="B32" s="32">
        <f>COUNTIF(計畫總表!$S$2:$S$27,A32)</f>
        <v>13</v>
      </c>
    </row>
    <row r="33" spans="1:2" ht="15" customHeight="1">
      <c r="A33" s="31" t="s">
        <v>42</v>
      </c>
      <c r="B33" s="32">
        <f>COUNTIF(計畫總表!$S$2:$S$27,A33)</f>
        <v>9</v>
      </c>
    </row>
    <row r="34" spans="1:2" ht="15" customHeight="1">
      <c r="A34" s="33" t="s">
        <v>530</v>
      </c>
      <c r="B34" s="33">
        <f>SUM(B31:B33)</f>
        <v>26</v>
      </c>
    </row>
    <row r="36" spans="1:2" ht="16.5" customHeight="1">
      <c r="A36" s="30" t="s">
        <v>12</v>
      </c>
      <c r="B36" s="30" t="s">
        <v>529</v>
      </c>
    </row>
    <row r="37" spans="1:2" ht="15" customHeight="1">
      <c r="A37" s="31" t="s">
        <v>30</v>
      </c>
      <c r="B37" s="32">
        <f>COUNTIF(計畫總表!$M$2:$M$27,A37)</f>
        <v>10</v>
      </c>
    </row>
    <row r="38" spans="1:2" ht="15" customHeight="1">
      <c r="A38" s="31" t="s">
        <v>49</v>
      </c>
      <c r="B38" s="32">
        <f>COUNTIF(計畫總表!$M$2:$M$27,A38)</f>
        <v>10</v>
      </c>
    </row>
    <row r="39" spans="1:2" ht="15" customHeight="1">
      <c r="A39" s="31" t="s">
        <v>180</v>
      </c>
      <c r="B39" s="32">
        <f>COUNTIF(計畫總表!$M$2:$M$27,A39)</f>
        <v>4</v>
      </c>
    </row>
    <row r="40" spans="1:2" ht="15" customHeight="1">
      <c r="A40" s="31" t="s">
        <v>41</v>
      </c>
      <c r="B40" s="32">
        <f>COUNTIF(計畫總表!$M$2:$M$27,A40)</f>
        <v>2</v>
      </c>
    </row>
    <row r="41" spans="1:2" ht="15" customHeight="1">
      <c r="A41" s="33" t="s">
        <v>530</v>
      </c>
      <c r="B41" s="33">
        <f>SUM(B37:B40)</f>
        <v>26</v>
      </c>
    </row>
    <row r="43" spans="1:2" ht="16.5" customHeight="1">
      <c r="A43" s="35" t="s">
        <v>6</v>
      </c>
      <c r="B43" s="30" t="s">
        <v>529</v>
      </c>
    </row>
    <row r="44" spans="1:2" ht="15" customHeight="1">
      <c r="A44" s="31" t="s">
        <v>535</v>
      </c>
      <c r="B44" s="32">
        <f>COUNTIF(計畫總表!$G$2:$G$27,"✓")</f>
        <v>3</v>
      </c>
    </row>
    <row r="45" spans="1:2" ht="15" customHeight="1">
      <c r="A45" s="31" t="s">
        <v>536</v>
      </c>
      <c r="B45" s="32">
        <f>COUNTA(計畫總表!$A$2:$A$27)-B44</f>
        <v>23</v>
      </c>
    </row>
    <row r="46" spans="1:2" ht="15" customHeight="1">
      <c r="A46" s="33" t="s">
        <v>530</v>
      </c>
      <c r="B46" s="33">
        <f>SUM(B44:B45)</f>
        <v>26</v>
      </c>
    </row>
    <row r="48" spans="1:2" ht="16.5" customHeight="1">
      <c r="A48" s="30" t="s">
        <v>241</v>
      </c>
      <c r="B48" s="30" t="s">
        <v>529</v>
      </c>
    </row>
    <row r="49" spans="1:2" ht="15" customHeight="1">
      <c r="A49" s="31" t="s">
        <v>537</v>
      </c>
      <c r="B49" s="32">
        <f>COUNTA(比對結果!$A$2:$A$42)</f>
        <v>41</v>
      </c>
    </row>
    <row r="50" spans="1:2" ht="15" customHeight="1">
      <c r="A50" s="31" t="s">
        <v>538</v>
      </c>
      <c r="B50" s="32">
        <f>COUNT(比對結果!$G$2:$G$42)</f>
        <v>3</v>
      </c>
    </row>
    <row r="51" spans="1:2" ht="15" customHeight="1">
      <c r="A51" s="31" t="s">
        <v>512</v>
      </c>
      <c r="B51" s="32">
        <f>B49-B50</f>
        <v>38</v>
      </c>
    </row>
    <row r="52" spans="1:2" ht="15" customHeight="1">
      <c r="A52" s="31" t="s">
        <v>539</v>
      </c>
      <c r="B52" s="32">
        <f>COUNTIFS(比對結果!$F$2:$F$42,"是",比對結果!$G$2:$G$42,"")</f>
        <v>6</v>
      </c>
    </row>
    <row r="54" spans="1:2" ht="15" customHeight="1">
      <c r="A54" s="33" t="s">
        <v>540</v>
      </c>
      <c r="B54" s="33" t="str">
        <f>IF(AND(B9=COUNTA(計畫總表!$A$2:$A$27),B18=B9,B28=B9,B34=B9,B41=B9,B46=B9),"一致","不一致")</f>
        <v>一致</v>
      </c>
    </row>
    <row r="55" spans="1:2" ht="15" customHeight="1">
      <c r="A55" s="33" t="s">
        <v>541</v>
      </c>
      <c r="B55" s="33" t="str">
        <f>IF(B44=B50,"一致","不一致")</f>
        <v>一致</v>
      </c>
    </row>
    <row r="58" spans="1:2" ht="16.5" customHeight="1">
      <c r="A58" s="35" t="s">
        <v>542</v>
      </c>
      <c r="B58" s="30" t="s">
        <v>529</v>
      </c>
    </row>
    <row r="59" spans="1:2" ht="15" customHeight="1">
      <c r="A59" s="31" t="s">
        <v>537</v>
      </c>
      <c r="B59" s="31">
        <f>COUNTA('115年方案彙整'!$A$2:$A$42)</f>
        <v>41</v>
      </c>
    </row>
    <row r="60" spans="1:2" ht="15" customHeight="1">
      <c r="A60" s="31" t="s">
        <v>543</v>
      </c>
      <c r="B60" s="31">
        <f>COUNTIF('115年方案彙整'!$G$2:$G$42,"✓")</f>
        <v>3</v>
      </c>
    </row>
    <row r="61" spans="1:2" ht="15" customHeight="1">
      <c r="A61" s="31" t="s">
        <v>544</v>
      </c>
      <c r="B61" s="31">
        <f>B59-B60</f>
        <v>38</v>
      </c>
    </row>
    <row r="63" spans="1:2" ht="15" customHeight="1">
      <c r="A63" s="30" t="s">
        <v>545</v>
      </c>
      <c r="B63" s="30" t="s">
        <v>529</v>
      </c>
    </row>
    <row r="64" spans="1:2" ht="15" customHeight="1">
      <c r="A64" s="31" t="s">
        <v>533</v>
      </c>
      <c r="B64" s="31">
        <f>COUNTIF('115年方案彙整'!$S$2:$S$42,A64)</f>
        <v>2</v>
      </c>
    </row>
    <row r="65" spans="1:2" ht="15" customHeight="1">
      <c r="A65" s="31" t="s">
        <v>534</v>
      </c>
      <c r="B65" s="31">
        <f>COUNTIF('115年方案彙整'!$S$2:$S$42,A65)</f>
        <v>23</v>
      </c>
    </row>
    <row r="66" spans="1:2" ht="15" customHeight="1">
      <c r="A66" s="31" t="s">
        <v>82</v>
      </c>
      <c r="B66" s="31">
        <f>COUNTIF('115年方案彙整'!$S$2:$S$42,A66)</f>
        <v>3</v>
      </c>
    </row>
    <row r="67" spans="1:2" ht="15" customHeight="1">
      <c r="A67" s="31" t="s">
        <v>41</v>
      </c>
      <c r="B67" s="31">
        <f>COUNTIF('115年方案彙整'!$S$2:$S$42,A67)</f>
        <v>5</v>
      </c>
    </row>
    <row r="68" spans="1:2" ht="15" customHeight="1">
      <c r="A68" s="31" t="s">
        <v>285</v>
      </c>
      <c r="B68" s="31">
        <f>COUNTIF('115年方案彙整'!$S$2:$S$42,A68)</f>
        <v>1</v>
      </c>
    </row>
    <row r="69" spans="1:2" ht="15" customHeight="1">
      <c r="A69" s="31" t="s">
        <v>276</v>
      </c>
      <c r="B69" s="31">
        <f>COUNTIF('115年方案彙整'!$S$2:$S$42,A69)</f>
        <v>4</v>
      </c>
    </row>
    <row r="70" spans="1:2" ht="15" customHeight="1">
      <c r="A70" s="33" t="s">
        <v>530</v>
      </c>
      <c r="B70" s="33">
        <f>SUM(B64:B69)</f>
        <v>38</v>
      </c>
    </row>
    <row r="71" spans="1:2" ht="15" customHeight="1">
      <c r="A71" s="31" t="s">
        <v>546</v>
      </c>
      <c r="B71" s="31">
        <f>COUNTIF('115年方案彙整'!$V$2:$V$42,"【名稱或簡述提到AI】*")</f>
        <v>6</v>
      </c>
    </row>
    <row r="73" spans="1:2" ht="15" customHeight="1">
      <c r="A73" s="33" t="s">
        <v>547</v>
      </c>
      <c r="B73" s="33" t="str">
        <f>IF(B70=B61,"一致","不一致")</f>
        <v>一致</v>
      </c>
    </row>
    <row r="74" spans="1:2" ht="15" customHeight="1">
      <c r="A74" s="33" t="s">
        <v>548</v>
      </c>
      <c r="B74" s="33" t="str">
        <f>IF(B60=COUNT(比對結果!$G$2:$G$42),"一致","不一致")</f>
        <v>一致</v>
      </c>
    </row>
  </sheetData>
  <phoneticPr fontId="16"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zoomScaleNormal="100" workbookViewId="0">
      <pane ySplit="1" topLeftCell="A2" activePane="bottomLeft" state="frozen"/>
      <selection pane="bottomLeft"/>
    </sheetView>
  </sheetViews>
  <sheetFormatPr defaultColWidth="8.7109375" defaultRowHeight="15"/>
  <cols>
    <col min="1" max="1" width="30" style="1" customWidth="1"/>
    <col min="2" max="2" width="34" style="1" customWidth="1"/>
    <col min="3" max="3" width="56" style="1" customWidth="1"/>
    <col min="4" max="4" width="24" style="1" customWidth="1"/>
    <col min="5" max="5" width="60" style="1" customWidth="1"/>
  </cols>
  <sheetData>
    <row r="1" spans="1:5" ht="15" customHeight="1">
      <c r="A1" s="36" t="s">
        <v>549</v>
      </c>
      <c r="B1" s="36" t="s">
        <v>550</v>
      </c>
      <c r="C1" s="36" t="s">
        <v>551</v>
      </c>
      <c r="D1" s="36" t="s">
        <v>552</v>
      </c>
      <c r="E1" s="36" t="s">
        <v>553</v>
      </c>
    </row>
    <row r="2" spans="1:5" ht="29.25" customHeight="1">
      <c r="A2" s="37" t="s">
        <v>67</v>
      </c>
      <c r="B2" s="37" t="s">
        <v>554</v>
      </c>
      <c r="C2" s="38" t="s">
        <v>555</v>
      </c>
      <c r="D2" s="37" t="s">
        <v>556</v>
      </c>
      <c r="E2" s="38" t="s">
        <v>557</v>
      </c>
    </row>
    <row r="3" spans="1:5" ht="29.25" customHeight="1">
      <c r="A3" s="38" t="s">
        <v>558</v>
      </c>
      <c r="B3" s="37" t="s">
        <v>559</v>
      </c>
      <c r="C3" s="37" t="s">
        <v>560</v>
      </c>
      <c r="D3" s="37" t="s">
        <v>561</v>
      </c>
      <c r="E3" s="38" t="s">
        <v>562</v>
      </c>
    </row>
    <row r="4" spans="1:5" ht="15" customHeight="1">
      <c r="A4" s="37" t="s">
        <v>563</v>
      </c>
      <c r="B4" s="37" t="s">
        <v>564</v>
      </c>
      <c r="C4" s="37" t="s">
        <v>565</v>
      </c>
      <c r="D4" s="37" t="s">
        <v>566</v>
      </c>
      <c r="E4" s="38" t="s">
        <v>192</v>
      </c>
    </row>
    <row r="5" spans="1:5" ht="29.25" customHeight="1">
      <c r="A5" s="38" t="s">
        <v>567</v>
      </c>
      <c r="B5" s="37" t="s">
        <v>568</v>
      </c>
      <c r="C5" s="37" t="s">
        <v>569</v>
      </c>
      <c r="D5" s="37" t="s">
        <v>570</v>
      </c>
      <c r="E5" s="38" t="s">
        <v>200</v>
      </c>
    </row>
    <row r="6" spans="1:5" ht="36.75" customHeight="1">
      <c r="A6" s="37" t="s">
        <v>571</v>
      </c>
      <c r="B6" s="37" t="s">
        <v>572</v>
      </c>
      <c r="C6" s="37" t="s">
        <v>573</v>
      </c>
      <c r="D6" s="37" t="s">
        <v>574</v>
      </c>
      <c r="E6" s="38" t="s">
        <v>575</v>
      </c>
    </row>
    <row r="7" spans="1:5" ht="29.25" customHeight="1">
      <c r="A7" s="37" t="s">
        <v>576</v>
      </c>
      <c r="B7" s="37" t="s">
        <v>577</v>
      </c>
      <c r="C7" s="37" t="s">
        <v>578</v>
      </c>
      <c r="D7" s="37" t="s">
        <v>579</v>
      </c>
      <c r="E7" s="38" t="s">
        <v>84</v>
      </c>
    </row>
    <row r="8" spans="1:5" ht="29.25" customHeight="1">
      <c r="A8" s="38" t="s">
        <v>580</v>
      </c>
      <c r="B8" s="37" t="s">
        <v>581</v>
      </c>
      <c r="C8" s="37" t="s">
        <v>582</v>
      </c>
      <c r="D8" s="37" t="s">
        <v>583</v>
      </c>
      <c r="E8" s="38" t="s">
        <v>34</v>
      </c>
    </row>
    <row r="9" spans="1:5" ht="27" customHeight="1">
      <c r="A9" s="37" t="s">
        <v>584</v>
      </c>
      <c r="B9" s="38" t="s">
        <v>585</v>
      </c>
      <c r="C9" s="37" t="s">
        <v>586</v>
      </c>
      <c r="D9" s="37" t="s">
        <v>587</v>
      </c>
      <c r="E9" s="38" t="s">
        <v>588</v>
      </c>
    </row>
    <row r="10" spans="1:5" ht="29.25" customHeight="1">
      <c r="A10" s="37" t="s">
        <v>589</v>
      </c>
      <c r="B10" s="37" t="s">
        <v>590</v>
      </c>
      <c r="C10" s="37" t="s">
        <v>591</v>
      </c>
      <c r="D10" s="37" t="s">
        <v>592</v>
      </c>
      <c r="E10" s="38" t="s">
        <v>110</v>
      </c>
    </row>
    <row r="11" spans="1:5" ht="15" customHeight="1">
      <c r="A11" s="37" t="s">
        <v>593</v>
      </c>
      <c r="B11" s="37" t="s">
        <v>594</v>
      </c>
      <c r="C11" s="37" t="s">
        <v>595</v>
      </c>
      <c r="D11" s="37" t="s">
        <v>596</v>
      </c>
      <c r="E11" s="38" t="s">
        <v>65</v>
      </c>
    </row>
    <row r="12" spans="1:5" ht="15" customHeight="1">
      <c r="A12" s="38" t="s">
        <v>45</v>
      </c>
      <c r="B12" s="37" t="s">
        <v>597</v>
      </c>
      <c r="C12" s="38" t="s">
        <v>598</v>
      </c>
      <c r="D12" s="37" t="s">
        <v>596</v>
      </c>
      <c r="E12" s="38" t="s">
        <v>52</v>
      </c>
    </row>
    <row r="13" spans="1:5" ht="29.25" customHeight="1">
      <c r="A13" s="37" t="s">
        <v>599</v>
      </c>
      <c r="B13" s="37" t="s">
        <v>600</v>
      </c>
      <c r="C13" s="37" t="s">
        <v>601</v>
      </c>
      <c r="D13" s="37" t="s">
        <v>602</v>
      </c>
      <c r="E13" s="38" t="s">
        <v>173</v>
      </c>
    </row>
    <row r="14" spans="1:5" ht="15" customHeight="1">
      <c r="A14" s="37" t="s">
        <v>603</v>
      </c>
      <c r="B14" s="37" t="s">
        <v>604</v>
      </c>
      <c r="C14" s="37" t="s">
        <v>605</v>
      </c>
      <c r="D14" s="37" t="s">
        <v>606</v>
      </c>
      <c r="E14" s="38" t="s">
        <v>231</v>
      </c>
    </row>
    <row r="15" spans="1:5" ht="43.5" customHeight="1">
      <c r="A15" s="37" t="s">
        <v>607</v>
      </c>
      <c r="B15" s="38" t="s">
        <v>608</v>
      </c>
      <c r="C15" s="37" t="s">
        <v>609</v>
      </c>
      <c r="D15" s="37" t="s">
        <v>610</v>
      </c>
      <c r="E15" s="37" t="s">
        <v>611</v>
      </c>
    </row>
    <row r="16" spans="1:5" ht="43.5" customHeight="1">
      <c r="A16" s="38" t="s">
        <v>612</v>
      </c>
      <c r="B16" s="38" t="s">
        <v>608</v>
      </c>
      <c r="C16" s="38" t="s">
        <v>613</v>
      </c>
      <c r="D16" s="37" t="s">
        <v>614</v>
      </c>
      <c r="E16" s="37" t="s">
        <v>615</v>
      </c>
    </row>
  </sheetData>
  <phoneticPr fontId="16"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6"/>
  <sheetViews>
    <sheetView zoomScaleNormal="100" workbookViewId="0"/>
  </sheetViews>
  <sheetFormatPr defaultColWidth="8.7109375" defaultRowHeight="15"/>
  <cols>
    <col min="1" max="1" width="26" style="1" customWidth="1"/>
    <col min="2" max="2" width="100" style="1" customWidth="1"/>
  </cols>
  <sheetData>
    <row r="1" spans="1:2" ht="19.5" customHeight="1">
      <c r="A1" s="39" t="s">
        <v>616</v>
      </c>
      <c r="B1" s="40"/>
    </row>
    <row r="2" spans="1:2" ht="15" customHeight="1">
      <c r="A2" s="41" t="s">
        <v>617</v>
      </c>
      <c r="B2" s="40" t="s">
        <v>618</v>
      </c>
    </row>
    <row r="3" spans="1:2" ht="15" customHeight="1">
      <c r="A3" s="41" t="s">
        <v>619</v>
      </c>
      <c r="B3" s="42" t="s">
        <v>620</v>
      </c>
    </row>
    <row r="4" spans="1:2" ht="29.25" customHeight="1">
      <c r="A4" s="43" t="s">
        <v>621</v>
      </c>
      <c r="B4" s="42" t="s">
        <v>622</v>
      </c>
    </row>
    <row r="5" spans="1:2" ht="15" customHeight="1">
      <c r="A5" s="41" t="s">
        <v>623</v>
      </c>
      <c r="B5" s="42" t="s">
        <v>624</v>
      </c>
    </row>
    <row r="6" spans="1:2" ht="15" customHeight="1">
      <c r="A6" s="41" t="s">
        <v>625</v>
      </c>
      <c r="B6" s="42" t="s">
        <v>626</v>
      </c>
    </row>
    <row r="7" spans="1:2" ht="15" customHeight="1">
      <c r="A7" s="41" t="s">
        <v>16</v>
      </c>
      <c r="B7" s="42" t="s">
        <v>627</v>
      </c>
    </row>
    <row r="8" spans="1:2" ht="29.25" customHeight="1">
      <c r="A8" s="41" t="s">
        <v>18</v>
      </c>
      <c r="B8" s="42" t="s">
        <v>628</v>
      </c>
    </row>
    <row r="9" spans="1:2" ht="15" customHeight="1">
      <c r="A9" s="41" t="s">
        <v>629</v>
      </c>
      <c r="B9" s="42" t="s">
        <v>630</v>
      </c>
    </row>
    <row r="10" spans="1:2" ht="15" customHeight="1">
      <c r="A10" s="41" t="s">
        <v>631</v>
      </c>
      <c r="B10" s="42" t="s">
        <v>632</v>
      </c>
    </row>
    <row r="11" spans="1:2" ht="15" customHeight="1">
      <c r="A11" s="41" t="s">
        <v>633</v>
      </c>
      <c r="B11" s="42" t="s">
        <v>634</v>
      </c>
    </row>
    <row r="12" spans="1:2" ht="15" customHeight="1">
      <c r="A12" s="41" t="s">
        <v>635</v>
      </c>
      <c r="B12" s="42" t="s">
        <v>636</v>
      </c>
    </row>
    <row r="13" spans="1:2" ht="29.25" customHeight="1">
      <c r="A13" s="43" t="s">
        <v>637</v>
      </c>
      <c r="B13" s="42" t="s">
        <v>638</v>
      </c>
    </row>
    <row r="14" spans="1:2" ht="29.25" customHeight="1">
      <c r="A14" s="41" t="s">
        <v>639</v>
      </c>
      <c r="B14" s="42" t="s">
        <v>640</v>
      </c>
    </row>
    <row r="15" spans="1:2" ht="15" customHeight="1">
      <c r="A15" s="41" t="s">
        <v>641</v>
      </c>
      <c r="B15" s="42" t="s">
        <v>642</v>
      </c>
    </row>
    <row r="16" spans="1:2" ht="15" customHeight="1">
      <c r="A16" s="41" t="s">
        <v>643</v>
      </c>
      <c r="B16" s="42" t="s">
        <v>644</v>
      </c>
    </row>
  </sheetData>
  <phoneticPr fontId="16"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工作表</vt:lpstr>
      </vt:variant>
      <vt:variant>
        <vt:i4>6</vt:i4>
      </vt:variant>
    </vt:vector>
  </HeadingPairs>
  <TitlesOfParts>
    <vt:vector size="6" baseType="lpstr">
      <vt:lpstr>計畫總表</vt:lpstr>
      <vt:lpstr>115年方案彙整</vt:lpstr>
      <vt:lpstr>比對結果</vt:lpstr>
      <vt:lpstr>統計</vt:lpstr>
      <vt:lpstr>查證紀錄</vt:lpstr>
      <vt:lpstr>說明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陳惠娟 Zoe Chen</cp:lastModifiedBy>
  <cp:revision>0</cp:revision>
  <dcterms:created xsi:type="dcterms:W3CDTF">2026-10-20T10:14:57Z</dcterms:created>
  <dcterms:modified xsi:type="dcterms:W3CDTF">2026-10-20T11:21:07Z</dcterms:modified>
  <dc:language>en-US</dc:language>
</cp:coreProperties>
</file>